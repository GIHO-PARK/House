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읽기전에" sheetId="1" state="visible" r:id="rId1"/>
    <sheet name="03.수수료" sheetId="2" state="visible" r:id="rId2"/>
    <sheet name="02.마진계산기" sheetId="3" state="visible" r:id="rId3"/>
    <sheet name="05.구매시트" sheetId="4" state="visible" r:id="rId4"/>
    <sheet name="06.취소교환반품" sheetId="5" state="visible" r:id="rId5"/>
    <sheet name="CS응대스크립트" sheetId="6" state="visible" r:id="rId6"/>
    <sheet name="소싱금지브랜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10" fontId="5" fillId="0" borderId="1" pivotButton="0" quotePrefix="0" xfId="0"/>
    <xf numFmtId="0" fontId="6" fillId="3" borderId="1" pivotButton="0" quotePrefix="0" xfId="0"/>
    <xf numFmtId="0" fontId="5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3" fontId="5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0" fontId="0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3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7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3" fontId="6" fillId="3" borderId="0" pivotButton="0" quotePrefix="0" xfId="0"/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스탠다드 소싱계산기 템플릿</t>
        </is>
      </c>
    </row>
    <row r="2">
      <c r="A2" s="2" t="inlineStr"/>
    </row>
    <row r="3">
      <c r="A3" s="2" t="inlineStr">
        <is>
          <t>이 파일은 &lt;오픈마켓 베스트셀러 카피 전략&gt; 스탠다드 전자책과 함께 쓰는 실전 워크시트입니다.</t>
        </is>
      </c>
    </row>
    <row r="4">
      <c r="A4" s="2" t="inlineStr"/>
    </row>
    <row r="5">
      <c r="A5" s="2" t="inlineStr">
        <is>
          <t>사용 순서:</t>
        </is>
      </c>
    </row>
    <row r="6">
      <c r="A6" s="2" t="inlineStr">
        <is>
          <t>1) 02.마진계산기 — 상품명·원가·마진율·카테고리만 입력하면 플랫폼별 판매가/실정산가가 자동 계산됩니다.</t>
        </is>
      </c>
    </row>
    <row r="7">
      <c r="A7" s="2" t="inlineStr">
        <is>
          <t>2) 03.수수료 — 카테고리별 실제 플랫폼 수수료 참고표입니다. 02번 시트가 이 표를 자동으로 참조합니다.</t>
        </is>
      </c>
    </row>
    <row r="8">
      <c r="A8" s="2" t="inlineStr">
        <is>
          <t>3) 05.구매시트 — 실제 주문이 들어와서 소싱채널에서 발주할 때 기록하는 시트입니다. 마진/수익률이 자동 계산됩니다.</t>
        </is>
      </c>
    </row>
    <row r="9">
      <c r="A9" s="2" t="inlineStr">
        <is>
          <t>4) 06.취소교환반품 — 반품/교환 건을 기록하고 손실 금액을 관리합니다.</t>
        </is>
      </c>
    </row>
    <row r="10">
      <c r="A10" s="2" t="inlineStr">
        <is>
          <t>5) 소싱금지브랜드 — 등록 전 꼭 확인하세요. 시간이 지나면 바뀌는 목록이니 주기적으로 직접 재확인이 필요합니다.</t>
        </is>
      </c>
    </row>
    <row r="11">
      <c r="A11" s="2" t="inlineStr">
        <is>
          <t>6) CS응대스크립트 — 자주 오는 문의 7가지에 대한 답변 템플릿입니다.</t>
        </is>
      </c>
    </row>
    <row r="12">
      <c r="A12" s="2" t="inlineStr"/>
    </row>
    <row r="13">
      <c r="A13" s="2" t="inlineStr">
        <is>
          <t>입력 규칙:</t>
        </is>
      </c>
    </row>
    <row r="14">
      <c r="A14" s="2" t="inlineStr">
        <is>
          <t>- 파란 글자 = 직접 입력하는 칸</t>
        </is>
      </c>
    </row>
    <row r="15">
      <c r="A15" s="2" t="inlineStr">
        <is>
          <t>- 검은 글자 = 자동 계산되는 수식 (건드리지 마세요)</t>
        </is>
      </c>
    </row>
    <row r="16">
      <c r="A16" s="2" t="inlineStr">
        <is>
          <t>- 노란 배경 = 예시 행 (지우고 본인 데이터로 채우세요)</t>
        </is>
      </c>
    </row>
    <row r="17">
      <c r="A17" s="2" t="inlineStr"/>
    </row>
    <row r="18">
      <c r="A18" s="2" t="inlineStr">
        <is>
          <t>주의: 03.수수료 시트의 수치는 특정 시점 기준 참고값입니다. 플랫폼 정책은 수시로 바뀌므로</t>
        </is>
      </c>
    </row>
    <row r="19">
      <c r="A19" s="2" t="inlineStr">
        <is>
          <t>실제 판매가를 확정하기 전 각 플랫폼 판매자센터 공지에서 최신 수수료를 반드시 재확인하세요.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카테고리</t>
        </is>
      </c>
      <c r="B1" s="3" t="inlineStr">
        <is>
          <t>네이버_총수수료</t>
        </is>
      </c>
      <c r="C1" s="3" t="inlineStr">
        <is>
          <t>카카오_총수수료</t>
        </is>
      </c>
      <c r="D1" s="3" t="inlineStr">
        <is>
          <t>쿠팡_총수수료</t>
        </is>
      </c>
      <c r="E1" s="3" t="inlineStr">
        <is>
          <t>오픈마켓_총수수료</t>
        </is>
      </c>
      <c r="F1" s="3" t="inlineStr">
        <is>
          <t>셀러허브_총수수료</t>
        </is>
      </c>
      <c r="G1" s="3" t="inlineStr">
        <is>
          <t>토스쇼핑_총수수료</t>
        </is>
      </c>
    </row>
    <row r="2" ht="30" customHeight="1">
      <c r="A2" s="4" t="inlineStr">
        <is>
          <t>참고: 오픈마켓(지마켓/옥션/11번가/롯데온 등) 쿠폰 비용은 플랫폼이 85%, 판매자가 15%만 부담하는 구조가 일반적입니다. 아래 총수수료는 이 쿠폰 부담분까지 반영한 값입니다. (기준 시점 참고값 — 실제 적용 전 각 플랫폼 공지 재확인 필수)</t>
        </is>
      </c>
    </row>
    <row r="3">
      <c r="A3" s="5" t="inlineStr">
        <is>
          <t>물티슈</t>
        </is>
      </c>
      <c r="B3" s="6" t="n">
        <v>0.04</v>
      </c>
      <c r="C3" s="6" t="n">
        <v>0.055</v>
      </c>
      <c r="D3" s="6" t="n">
        <v>0.0858</v>
      </c>
      <c r="E3" s="6" t="n">
        <v>0.1359</v>
      </c>
      <c r="F3" s="6" t="n">
        <v>0.15</v>
      </c>
      <c r="G3" s="6" t="n">
        <v>0.108</v>
      </c>
    </row>
    <row r="4">
      <c r="A4" s="5" t="inlineStr">
        <is>
          <t>식품/건강</t>
        </is>
      </c>
      <c r="B4" s="6" t="n">
        <v>0.04</v>
      </c>
      <c r="C4" s="6" t="n">
        <v>0.055</v>
      </c>
      <c r="D4" s="6" t="n">
        <v>0.1199</v>
      </c>
      <c r="E4" s="6" t="n">
        <v>0.1865</v>
      </c>
      <c r="F4" s="6" t="n">
        <v>0.15</v>
      </c>
      <c r="G4" s="6" t="n">
        <v>0.108</v>
      </c>
    </row>
    <row r="5">
      <c r="A5" s="5" t="inlineStr">
        <is>
          <t>펫/반려</t>
        </is>
      </c>
      <c r="B5" s="6" t="n">
        <v>0.04</v>
      </c>
      <c r="C5" s="6" t="n">
        <v>0.055</v>
      </c>
      <c r="D5" s="6" t="n">
        <v>0.1188</v>
      </c>
      <c r="E5" s="6" t="n">
        <v>0.1865</v>
      </c>
      <c r="F5" s="6" t="n">
        <v>0.15</v>
      </c>
      <c r="G5" s="6" t="n">
        <v>0.108</v>
      </c>
    </row>
    <row r="6">
      <c r="A6" s="5" t="inlineStr">
        <is>
          <t>욕실/세탁세제</t>
        </is>
      </c>
      <c r="B6" s="6" t="n">
        <v>0.04</v>
      </c>
      <c r="C6" s="6" t="n">
        <v>0.055</v>
      </c>
      <c r="D6" s="6" t="n">
        <v>0.0858</v>
      </c>
      <c r="E6" s="6" t="n">
        <v>0.1612</v>
      </c>
      <c r="F6" s="6" t="n">
        <v>0.15</v>
      </c>
      <c r="G6" s="6" t="n">
        <v>0.108</v>
      </c>
    </row>
    <row r="7">
      <c r="A7" s="5" t="inlineStr">
        <is>
          <t>샴푸/바디워시 등</t>
        </is>
      </c>
      <c r="B7" s="6" t="n">
        <v>0.04</v>
      </c>
      <c r="C7" s="6" t="n">
        <v>0.055</v>
      </c>
      <c r="D7" s="6" t="n">
        <v>0.1056</v>
      </c>
      <c r="E7" s="6" t="n">
        <v>0.1612</v>
      </c>
      <c r="F7" s="6" t="n">
        <v>0.15</v>
      </c>
      <c r="G7" s="6" t="n">
        <v>0.108</v>
      </c>
    </row>
    <row r="8">
      <c r="A8" s="5" t="inlineStr">
        <is>
          <t>출산/유아동</t>
        </is>
      </c>
      <c r="B8" s="6" t="n">
        <v>0.04</v>
      </c>
      <c r="C8" s="6" t="n">
        <v>0.055</v>
      </c>
      <c r="D8" s="6" t="n">
        <v>0.0858</v>
      </c>
      <c r="E8" s="6" t="n">
        <v>0.1359</v>
      </c>
      <c r="F8" s="6" t="n">
        <v>0.15</v>
      </c>
      <c r="G8" s="6" t="n">
        <v>0.108</v>
      </c>
    </row>
    <row r="9">
      <c r="A9" s="5" t="inlineStr">
        <is>
          <t>건강식품/다이어트</t>
        </is>
      </c>
      <c r="B9" s="6" t="n">
        <v>0.04</v>
      </c>
      <c r="C9" s="6" t="n">
        <v>0.055</v>
      </c>
      <c r="D9" s="6" t="n">
        <v>0.1166</v>
      </c>
      <c r="E9" s="6" t="n">
        <v>0.1865</v>
      </c>
      <c r="F9" s="6" t="n">
        <v>0.15</v>
      </c>
      <c r="G9" s="6" t="n">
        <v>0.108</v>
      </c>
    </row>
    <row r="10">
      <c r="A10" s="5" t="inlineStr">
        <is>
          <t>뷰티/퍼스널케어</t>
        </is>
      </c>
      <c r="B10" s="6" t="n">
        <v>0.04</v>
      </c>
      <c r="C10" s="6" t="n">
        <v>0.055</v>
      </c>
      <c r="D10" s="6" t="n">
        <v>0.1056</v>
      </c>
      <c r="E10" s="6" t="n">
        <v>0.1865</v>
      </c>
      <c r="F10" s="6" t="n">
        <v>0.15</v>
      </c>
      <c r="G10" s="6" t="n">
        <v>0.108</v>
      </c>
    </row>
    <row r="11">
      <c r="A11" s="5" t="inlineStr">
        <is>
          <t>가전/디지털</t>
        </is>
      </c>
      <c r="B11" s="6" t="n">
        <v>0.04</v>
      </c>
      <c r="C11" s="6" t="n">
        <v>0.055</v>
      </c>
      <c r="D11" s="6" t="n">
        <v>0.0858</v>
      </c>
      <c r="E11" s="6" t="n">
        <v>0.1359</v>
      </c>
      <c r="F11" s="6" t="n">
        <v>0.15</v>
      </c>
      <c r="G11" s="6" t="n">
        <v>0.108</v>
      </c>
    </row>
    <row r="12">
      <c r="A12" s="5" t="inlineStr">
        <is>
          <t>자동차/레저</t>
        </is>
      </c>
      <c r="B12" s="6" t="n">
        <v>0.04</v>
      </c>
      <c r="C12" s="6" t="n">
        <v>0.055</v>
      </c>
      <c r="D12" s="6" t="n">
        <v>0.1188</v>
      </c>
      <c r="E12" s="6" t="n">
        <v>0.1865</v>
      </c>
      <c r="F12" s="6" t="n">
        <v>0.15</v>
      </c>
      <c r="G12" s="6" t="n">
        <v>0.108</v>
      </c>
    </row>
    <row r="13">
      <c r="A13" s="5" t="inlineStr">
        <is>
          <t>노트북/PC</t>
        </is>
      </c>
      <c r="B13" s="6" t="n">
        <v>0.04</v>
      </c>
      <c r="C13" s="6" t="n">
        <v>0.055</v>
      </c>
      <c r="D13" s="6" t="n">
        <v>0.0704</v>
      </c>
      <c r="E13" s="6" t="n">
        <v>0.1106</v>
      </c>
      <c r="F13" s="6" t="n">
        <v>0.15</v>
      </c>
      <c r="G13" s="6" t="n">
        <v>0.108</v>
      </c>
    </row>
    <row r="14">
      <c r="A14" s="5" t="inlineStr">
        <is>
          <t>홈/리빙</t>
        </is>
      </c>
      <c r="B14" s="6" t="n">
        <v>0.04</v>
      </c>
      <c r="C14" s="6" t="n">
        <v>0.055</v>
      </c>
      <c r="D14" s="6" t="n">
        <v>0.1188</v>
      </c>
      <c r="E14" s="6" t="n">
        <v>0.1865</v>
      </c>
      <c r="F14" s="6" t="n">
        <v>0.15</v>
      </c>
      <c r="G14" s="6" t="n">
        <v>0.108</v>
      </c>
    </row>
    <row r="15">
      <c r="A15" s="5" t="inlineStr">
        <is>
          <t>제지류/화장지</t>
        </is>
      </c>
      <c r="B15" s="6" t="n">
        <v>0.04</v>
      </c>
      <c r="C15" s="6" t="n">
        <v>0.055</v>
      </c>
      <c r="D15" s="6" t="n">
        <v>0.0858</v>
      </c>
      <c r="E15" s="6" t="n">
        <v>0.1359</v>
      </c>
      <c r="F15" s="6" t="n">
        <v>0.15</v>
      </c>
      <c r="G15" s="6" t="n">
        <v>0.108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6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6" customWidth="1" min="21" max="21"/>
  </cols>
  <sheetData>
    <row r="1" ht="34" customHeight="1">
      <c r="A1" s="3" t="inlineStr">
        <is>
          <t>구분</t>
        </is>
      </c>
      <c r="B1" s="3" t="inlineStr">
        <is>
          <t>상품명</t>
        </is>
      </c>
      <c r="C1" s="3" t="inlineStr">
        <is>
          <t>글자수(60자이내)</t>
        </is>
      </c>
      <c r="D1" s="3" t="inlineStr">
        <is>
          <t>링크</t>
        </is>
      </c>
      <c r="E1" s="3" t="inlineStr">
        <is>
          <t>원가</t>
        </is>
      </c>
      <c r="F1" s="3" t="inlineStr">
        <is>
          <t>마진율</t>
        </is>
      </c>
      <c r="G1" s="3" t="inlineStr">
        <is>
          <t>정산가(목표 실수령액)</t>
        </is>
      </c>
      <c r="H1" s="3" t="inlineStr">
        <is>
          <t>카테고리</t>
        </is>
      </c>
      <c r="I1" s="3" t="inlineStr">
        <is>
          <t>네이버_판매가</t>
        </is>
      </c>
      <c r="J1" s="3" t="inlineStr">
        <is>
          <t>네이버_실정산가</t>
        </is>
      </c>
      <c r="K1" s="3" t="inlineStr">
        <is>
          <t>카카오_판매가</t>
        </is>
      </c>
      <c r="L1" s="3" t="inlineStr">
        <is>
          <t>카카오_실정산가</t>
        </is>
      </c>
      <c r="M1" s="3" t="inlineStr">
        <is>
          <t>쿠팡_판매가</t>
        </is>
      </c>
      <c r="N1" s="3" t="inlineStr">
        <is>
          <t>쿠팡_실정산가</t>
        </is>
      </c>
      <c r="O1" s="3" t="inlineStr">
        <is>
          <t>오픈마켓_판매가</t>
        </is>
      </c>
      <c r="P1" s="3" t="inlineStr">
        <is>
          <t>오픈마켓_실정산가</t>
        </is>
      </c>
      <c r="Q1" s="3" t="inlineStr">
        <is>
          <t>셀러허브_판매가</t>
        </is>
      </c>
      <c r="R1" s="3" t="inlineStr">
        <is>
          <t>셀러허브_실정산가</t>
        </is>
      </c>
      <c r="S1" s="3" t="inlineStr">
        <is>
          <t>토스쇼핑_판매가</t>
        </is>
      </c>
      <c r="T1" s="3" t="inlineStr">
        <is>
          <t>토스쇼핑_실정산가</t>
        </is>
      </c>
      <c r="U1" s="3" t="inlineStr">
        <is>
          <t>비고</t>
        </is>
      </c>
    </row>
    <row r="2">
      <c r="A2" s="7" t="inlineStr">
        <is>
          <t>예시</t>
        </is>
      </c>
      <c r="B2" s="7" t="inlineStr">
        <is>
          <t>OO브랜드 비타민C 60정</t>
        </is>
      </c>
      <c r="C2" s="8">
        <f>IFERROR(LEN(B2),"")</f>
        <v/>
      </c>
      <c r="D2" s="7" t="inlineStr">
        <is>
          <t>https://item.gmarket.co.kr/Item?...</t>
        </is>
      </c>
      <c r="E2" s="9" t="n">
        <v>12000</v>
      </c>
      <c r="F2" s="10" t="n">
        <v>0.15</v>
      </c>
      <c r="G2" s="11">
        <f>IFERROR(E2*(1+F2),"")</f>
        <v/>
      </c>
      <c r="H2" s="7" t="inlineStr">
        <is>
          <t>건강식품/다이어트</t>
        </is>
      </c>
      <c r="I2" s="11">
        <f>IFERROR($G2/(1-IFERROR(INDEX('03.수수료'!$B:$B,MATCH($H2,'03.수수료'!$A:$A,0)),"")),"")</f>
        <v/>
      </c>
      <c r="J2" s="11">
        <f>IFERROR(I2*(1-IFERROR(INDEX('03.수수료'!$B:$B,MATCH($H2,'03.수수료'!$A:$A,0)),"")),"")</f>
        <v/>
      </c>
      <c r="K2" s="11">
        <f>IFERROR($G2/(1-IFERROR(INDEX('03.수수료'!$C:$C,MATCH($H2,'03.수수료'!$A:$A,0)),"")),"")</f>
        <v/>
      </c>
      <c r="L2" s="11">
        <f>IFERROR(K2*(1-IFERROR(INDEX('03.수수료'!$C:$C,MATCH($H2,'03.수수료'!$A:$A,0)),"")),"")</f>
        <v/>
      </c>
      <c r="M2" s="11">
        <f>IFERROR($G2/(1-IFERROR(INDEX('03.수수료'!$D:$D,MATCH($H2,'03.수수료'!$A:$A,0)),"")),"")</f>
        <v/>
      </c>
      <c r="N2" s="11">
        <f>IFERROR(M2*(1-IFERROR(INDEX('03.수수료'!$D:$D,MATCH($H2,'03.수수료'!$A:$A,0)),"")),"")</f>
        <v/>
      </c>
      <c r="O2" s="11">
        <f>IFERROR($G2/(1-IFERROR(INDEX('03.수수료'!$E:$E,MATCH($H2,'03.수수료'!$A:$A,0)),"")),"")</f>
        <v/>
      </c>
      <c r="P2" s="11">
        <f>IFERROR(O2*(1-IFERROR(INDEX('03.수수료'!$E:$E,MATCH($H2,'03.수수료'!$A:$A,0)),"")),"")</f>
        <v/>
      </c>
      <c r="Q2" s="11">
        <f>IFERROR($G2/(1-IFERROR(INDEX('03.수수료'!$F:$F,MATCH($H2,'03.수수료'!$A:$A,0)),"")),"")</f>
        <v/>
      </c>
      <c r="R2" s="11">
        <f>IFERROR(Q2*(1-IFERROR(INDEX('03.수수료'!$F:$F,MATCH($H2,'03.수수료'!$A:$A,0)),"")),"")</f>
        <v/>
      </c>
      <c r="S2" s="11">
        <f>IFERROR($G2/(1-IFERROR(INDEX('03.수수료'!$G:$G,MATCH($H2,'03.수수료'!$A:$A,0)),"")),"")</f>
        <v/>
      </c>
      <c r="T2" s="11">
        <f>IFERROR(S2*(1-IFERROR(INDEX('03.수수료'!$G:$G,MATCH($H2,'03.수수료'!$A:$A,0)),"")),"")</f>
        <v/>
      </c>
      <c r="U2" s="12" t="n"/>
    </row>
    <row r="3">
      <c r="A3" s="13" t="n"/>
      <c r="B3" s="13" t="n"/>
      <c r="C3" s="14">
        <f>IFERROR(LEN(B3),"")</f>
        <v/>
      </c>
      <c r="D3" s="13" t="n"/>
      <c r="E3" s="15" t="n"/>
      <c r="F3" s="16" t="n"/>
      <c r="G3" s="17">
        <f>IFERROR(E3*(1+F3),"")</f>
        <v/>
      </c>
      <c r="H3" s="13" t="n"/>
      <c r="I3" s="17">
        <f>IFERROR($G3/(1-IFERROR(INDEX('03.수수료'!$B:$B,MATCH($H3,'03.수수료'!$A:$A,0)),"")),"")</f>
        <v/>
      </c>
      <c r="J3" s="17">
        <f>IFERROR(I3*(1-IFERROR(INDEX('03.수수료'!$B:$B,MATCH($H3,'03.수수료'!$A:$A,0)),"")),"")</f>
        <v/>
      </c>
      <c r="K3" s="17">
        <f>IFERROR($G3/(1-IFERROR(INDEX('03.수수료'!$C:$C,MATCH($H3,'03.수수료'!$A:$A,0)),"")),"")</f>
        <v/>
      </c>
      <c r="L3" s="17">
        <f>IFERROR(K3*(1-IFERROR(INDEX('03.수수료'!$C:$C,MATCH($H3,'03.수수료'!$A:$A,0)),"")),"")</f>
        <v/>
      </c>
      <c r="M3" s="17">
        <f>IFERROR($G3/(1-IFERROR(INDEX('03.수수료'!$D:$D,MATCH($H3,'03.수수료'!$A:$A,0)),"")),"")</f>
        <v/>
      </c>
      <c r="N3" s="17">
        <f>IFERROR(M3*(1-IFERROR(INDEX('03.수수료'!$D:$D,MATCH($H3,'03.수수료'!$A:$A,0)),"")),"")</f>
        <v/>
      </c>
      <c r="O3" s="17">
        <f>IFERROR($G3/(1-IFERROR(INDEX('03.수수료'!$E:$E,MATCH($H3,'03.수수료'!$A:$A,0)),"")),"")</f>
        <v/>
      </c>
      <c r="P3" s="17">
        <f>IFERROR(O3*(1-IFERROR(INDEX('03.수수료'!$E:$E,MATCH($H3,'03.수수료'!$A:$A,0)),"")),"")</f>
        <v/>
      </c>
      <c r="Q3" s="17">
        <f>IFERROR($G3/(1-IFERROR(INDEX('03.수수료'!$F:$F,MATCH($H3,'03.수수료'!$A:$A,0)),"")),"")</f>
        <v/>
      </c>
      <c r="R3" s="17">
        <f>IFERROR(Q3*(1-IFERROR(INDEX('03.수수료'!$F:$F,MATCH($H3,'03.수수료'!$A:$A,0)),"")),"")</f>
        <v/>
      </c>
      <c r="S3" s="17">
        <f>IFERROR($G3/(1-IFERROR(INDEX('03.수수료'!$G:$G,MATCH($H3,'03.수수료'!$A:$A,0)),"")),"")</f>
        <v/>
      </c>
      <c r="T3" s="17">
        <f>IFERROR(S3*(1-IFERROR(INDEX('03.수수료'!$G:$G,MATCH($H3,'03.수수료'!$A:$A,0)),"")),"")</f>
        <v/>
      </c>
      <c r="U3" s="18" t="n"/>
    </row>
    <row r="4">
      <c r="A4" s="13" t="n"/>
      <c r="B4" s="13" t="n"/>
      <c r="C4" s="14">
        <f>IFERROR(LEN(B4),"")</f>
        <v/>
      </c>
      <c r="D4" s="13" t="n"/>
      <c r="E4" s="15" t="n"/>
      <c r="F4" s="16" t="n"/>
      <c r="G4" s="17">
        <f>IFERROR(E4*(1+F4),"")</f>
        <v/>
      </c>
      <c r="H4" s="13" t="n"/>
      <c r="I4" s="17">
        <f>IFERROR($G4/(1-IFERROR(INDEX('03.수수료'!$B:$B,MATCH($H4,'03.수수료'!$A:$A,0)),"")),"")</f>
        <v/>
      </c>
      <c r="J4" s="17">
        <f>IFERROR(I4*(1-IFERROR(INDEX('03.수수료'!$B:$B,MATCH($H4,'03.수수료'!$A:$A,0)),"")),"")</f>
        <v/>
      </c>
      <c r="K4" s="17">
        <f>IFERROR($G4/(1-IFERROR(INDEX('03.수수료'!$C:$C,MATCH($H4,'03.수수료'!$A:$A,0)),"")),"")</f>
        <v/>
      </c>
      <c r="L4" s="17">
        <f>IFERROR(K4*(1-IFERROR(INDEX('03.수수료'!$C:$C,MATCH($H4,'03.수수료'!$A:$A,0)),"")),"")</f>
        <v/>
      </c>
      <c r="M4" s="17">
        <f>IFERROR($G4/(1-IFERROR(INDEX('03.수수료'!$D:$D,MATCH($H4,'03.수수료'!$A:$A,0)),"")),"")</f>
        <v/>
      </c>
      <c r="N4" s="17">
        <f>IFERROR(M4*(1-IFERROR(INDEX('03.수수료'!$D:$D,MATCH($H4,'03.수수료'!$A:$A,0)),"")),"")</f>
        <v/>
      </c>
      <c r="O4" s="17">
        <f>IFERROR($G4/(1-IFERROR(INDEX('03.수수료'!$E:$E,MATCH($H4,'03.수수료'!$A:$A,0)),"")),"")</f>
        <v/>
      </c>
      <c r="P4" s="17">
        <f>IFERROR(O4*(1-IFERROR(INDEX('03.수수료'!$E:$E,MATCH($H4,'03.수수료'!$A:$A,0)),"")),"")</f>
        <v/>
      </c>
      <c r="Q4" s="17">
        <f>IFERROR($G4/(1-IFERROR(INDEX('03.수수료'!$F:$F,MATCH($H4,'03.수수료'!$A:$A,0)),"")),"")</f>
        <v/>
      </c>
      <c r="R4" s="17">
        <f>IFERROR(Q4*(1-IFERROR(INDEX('03.수수료'!$F:$F,MATCH($H4,'03.수수료'!$A:$A,0)),"")),"")</f>
        <v/>
      </c>
      <c r="S4" s="17">
        <f>IFERROR($G4/(1-IFERROR(INDEX('03.수수료'!$G:$G,MATCH($H4,'03.수수료'!$A:$A,0)),"")),"")</f>
        <v/>
      </c>
      <c r="T4" s="17">
        <f>IFERROR(S4*(1-IFERROR(INDEX('03.수수료'!$G:$G,MATCH($H4,'03.수수료'!$A:$A,0)),"")),"")</f>
        <v/>
      </c>
      <c r="U4" s="18" t="n"/>
    </row>
    <row r="5">
      <c r="A5" s="13" t="n"/>
      <c r="B5" s="13" t="n"/>
      <c r="C5" s="14">
        <f>IFERROR(LEN(B5),"")</f>
        <v/>
      </c>
      <c r="D5" s="13" t="n"/>
      <c r="E5" s="15" t="n"/>
      <c r="F5" s="16" t="n"/>
      <c r="G5" s="17">
        <f>IFERROR(E5*(1+F5),"")</f>
        <v/>
      </c>
      <c r="H5" s="13" t="n"/>
      <c r="I5" s="17">
        <f>IFERROR($G5/(1-IFERROR(INDEX('03.수수료'!$B:$B,MATCH($H5,'03.수수료'!$A:$A,0)),"")),"")</f>
        <v/>
      </c>
      <c r="J5" s="17">
        <f>IFERROR(I5*(1-IFERROR(INDEX('03.수수료'!$B:$B,MATCH($H5,'03.수수료'!$A:$A,0)),"")),"")</f>
        <v/>
      </c>
      <c r="K5" s="17">
        <f>IFERROR($G5/(1-IFERROR(INDEX('03.수수료'!$C:$C,MATCH($H5,'03.수수료'!$A:$A,0)),"")),"")</f>
        <v/>
      </c>
      <c r="L5" s="17">
        <f>IFERROR(K5*(1-IFERROR(INDEX('03.수수료'!$C:$C,MATCH($H5,'03.수수료'!$A:$A,0)),"")),"")</f>
        <v/>
      </c>
      <c r="M5" s="17">
        <f>IFERROR($G5/(1-IFERROR(INDEX('03.수수료'!$D:$D,MATCH($H5,'03.수수료'!$A:$A,0)),"")),"")</f>
        <v/>
      </c>
      <c r="N5" s="17">
        <f>IFERROR(M5*(1-IFERROR(INDEX('03.수수료'!$D:$D,MATCH($H5,'03.수수료'!$A:$A,0)),"")),"")</f>
        <v/>
      </c>
      <c r="O5" s="17">
        <f>IFERROR($G5/(1-IFERROR(INDEX('03.수수료'!$E:$E,MATCH($H5,'03.수수료'!$A:$A,0)),"")),"")</f>
        <v/>
      </c>
      <c r="P5" s="17">
        <f>IFERROR(O5*(1-IFERROR(INDEX('03.수수료'!$E:$E,MATCH($H5,'03.수수료'!$A:$A,0)),"")),"")</f>
        <v/>
      </c>
      <c r="Q5" s="17">
        <f>IFERROR($G5/(1-IFERROR(INDEX('03.수수료'!$F:$F,MATCH($H5,'03.수수료'!$A:$A,0)),"")),"")</f>
        <v/>
      </c>
      <c r="R5" s="17">
        <f>IFERROR(Q5*(1-IFERROR(INDEX('03.수수료'!$F:$F,MATCH($H5,'03.수수료'!$A:$A,0)),"")),"")</f>
        <v/>
      </c>
      <c r="S5" s="17">
        <f>IFERROR($G5/(1-IFERROR(INDEX('03.수수료'!$G:$G,MATCH($H5,'03.수수료'!$A:$A,0)),"")),"")</f>
        <v/>
      </c>
      <c r="T5" s="17">
        <f>IFERROR(S5*(1-IFERROR(INDEX('03.수수료'!$G:$G,MATCH($H5,'03.수수료'!$A:$A,0)),"")),"")</f>
        <v/>
      </c>
      <c r="U5" s="18" t="n"/>
    </row>
    <row r="6">
      <c r="A6" s="13" t="n"/>
      <c r="B6" s="13" t="n"/>
      <c r="C6" s="14">
        <f>IFERROR(LEN(B6),"")</f>
        <v/>
      </c>
      <c r="D6" s="13" t="n"/>
      <c r="E6" s="15" t="n"/>
      <c r="F6" s="16" t="n"/>
      <c r="G6" s="17">
        <f>IFERROR(E6*(1+F6),"")</f>
        <v/>
      </c>
      <c r="H6" s="13" t="n"/>
      <c r="I6" s="17">
        <f>IFERROR($G6/(1-IFERROR(INDEX('03.수수료'!$B:$B,MATCH($H6,'03.수수료'!$A:$A,0)),"")),"")</f>
        <v/>
      </c>
      <c r="J6" s="17">
        <f>IFERROR(I6*(1-IFERROR(INDEX('03.수수료'!$B:$B,MATCH($H6,'03.수수료'!$A:$A,0)),"")),"")</f>
        <v/>
      </c>
      <c r="K6" s="17">
        <f>IFERROR($G6/(1-IFERROR(INDEX('03.수수료'!$C:$C,MATCH($H6,'03.수수료'!$A:$A,0)),"")),"")</f>
        <v/>
      </c>
      <c r="L6" s="17">
        <f>IFERROR(K6*(1-IFERROR(INDEX('03.수수료'!$C:$C,MATCH($H6,'03.수수료'!$A:$A,0)),"")),"")</f>
        <v/>
      </c>
      <c r="M6" s="17">
        <f>IFERROR($G6/(1-IFERROR(INDEX('03.수수료'!$D:$D,MATCH($H6,'03.수수료'!$A:$A,0)),"")),"")</f>
        <v/>
      </c>
      <c r="N6" s="17">
        <f>IFERROR(M6*(1-IFERROR(INDEX('03.수수료'!$D:$D,MATCH($H6,'03.수수료'!$A:$A,0)),"")),"")</f>
        <v/>
      </c>
      <c r="O6" s="17">
        <f>IFERROR($G6/(1-IFERROR(INDEX('03.수수료'!$E:$E,MATCH($H6,'03.수수료'!$A:$A,0)),"")),"")</f>
        <v/>
      </c>
      <c r="P6" s="17">
        <f>IFERROR(O6*(1-IFERROR(INDEX('03.수수료'!$E:$E,MATCH($H6,'03.수수료'!$A:$A,0)),"")),"")</f>
        <v/>
      </c>
      <c r="Q6" s="17">
        <f>IFERROR($G6/(1-IFERROR(INDEX('03.수수료'!$F:$F,MATCH($H6,'03.수수료'!$A:$A,0)),"")),"")</f>
        <v/>
      </c>
      <c r="R6" s="17">
        <f>IFERROR(Q6*(1-IFERROR(INDEX('03.수수료'!$F:$F,MATCH($H6,'03.수수료'!$A:$A,0)),"")),"")</f>
        <v/>
      </c>
      <c r="S6" s="17">
        <f>IFERROR($G6/(1-IFERROR(INDEX('03.수수료'!$G:$G,MATCH($H6,'03.수수료'!$A:$A,0)),"")),"")</f>
        <v/>
      </c>
      <c r="T6" s="17">
        <f>IFERROR(S6*(1-IFERROR(INDEX('03.수수료'!$G:$G,MATCH($H6,'03.수수료'!$A:$A,0)),"")),"")</f>
        <v/>
      </c>
      <c r="U6" s="18" t="n"/>
    </row>
    <row r="7">
      <c r="A7" s="13" t="n"/>
      <c r="B7" s="13" t="n"/>
      <c r="C7" s="14">
        <f>IFERROR(LEN(B7),"")</f>
        <v/>
      </c>
      <c r="D7" s="13" t="n"/>
      <c r="E7" s="15" t="n"/>
      <c r="F7" s="16" t="n"/>
      <c r="G7" s="17">
        <f>IFERROR(E7*(1+F7),"")</f>
        <v/>
      </c>
      <c r="H7" s="13" t="n"/>
      <c r="I7" s="17">
        <f>IFERROR($G7/(1-IFERROR(INDEX('03.수수료'!$B:$B,MATCH($H7,'03.수수료'!$A:$A,0)),"")),"")</f>
        <v/>
      </c>
      <c r="J7" s="17">
        <f>IFERROR(I7*(1-IFERROR(INDEX('03.수수료'!$B:$B,MATCH($H7,'03.수수료'!$A:$A,0)),"")),"")</f>
        <v/>
      </c>
      <c r="K7" s="17">
        <f>IFERROR($G7/(1-IFERROR(INDEX('03.수수료'!$C:$C,MATCH($H7,'03.수수료'!$A:$A,0)),"")),"")</f>
        <v/>
      </c>
      <c r="L7" s="17">
        <f>IFERROR(K7*(1-IFERROR(INDEX('03.수수료'!$C:$C,MATCH($H7,'03.수수료'!$A:$A,0)),"")),"")</f>
        <v/>
      </c>
      <c r="M7" s="17">
        <f>IFERROR($G7/(1-IFERROR(INDEX('03.수수료'!$D:$D,MATCH($H7,'03.수수료'!$A:$A,0)),"")),"")</f>
        <v/>
      </c>
      <c r="N7" s="17">
        <f>IFERROR(M7*(1-IFERROR(INDEX('03.수수료'!$D:$D,MATCH($H7,'03.수수료'!$A:$A,0)),"")),"")</f>
        <v/>
      </c>
      <c r="O7" s="17">
        <f>IFERROR($G7/(1-IFERROR(INDEX('03.수수료'!$E:$E,MATCH($H7,'03.수수료'!$A:$A,0)),"")),"")</f>
        <v/>
      </c>
      <c r="P7" s="17">
        <f>IFERROR(O7*(1-IFERROR(INDEX('03.수수료'!$E:$E,MATCH($H7,'03.수수료'!$A:$A,0)),"")),"")</f>
        <v/>
      </c>
      <c r="Q7" s="17">
        <f>IFERROR($G7/(1-IFERROR(INDEX('03.수수료'!$F:$F,MATCH($H7,'03.수수료'!$A:$A,0)),"")),"")</f>
        <v/>
      </c>
      <c r="R7" s="17">
        <f>IFERROR(Q7*(1-IFERROR(INDEX('03.수수료'!$F:$F,MATCH($H7,'03.수수료'!$A:$A,0)),"")),"")</f>
        <v/>
      </c>
      <c r="S7" s="17">
        <f>IFERROR($G7/(1-IFERROR(INDEX('03.수수료'!$G:$G,MATCH($H7,'03.수수료'!$A:$A,0)),"")),"")</f>
        <v/>
      </c>
      <c r="T7" s="17">
        <f>IFERROR(S7*(1-IFERROR(INDEX('03.수수료'!$G:$G,MATCH($H7,'03.수수료'!$A:$A,0)),"")),"")</f>
        <v/>
      </c>
      <c r="U7" s="18" t="n"/>
    </row>
    <row r="8">
      <c r="A8" s="13" t="n"/>
      <c r="B8" s="13" t="n"/>
      <c r="C8" s="14">
        <f>IFERROR(LEN(B8),"")</f>
        <v/>
      </c>
      <c r="D8" s="13" t="n"/>
      <c r="E8" s="15" t="n"/>
      <c r="F8" s="16" t="n"/>
      <c r="G8" s="17">
        <f>IFERROR(E8*(1+F8),"")</f>
        <v/>
      </c>
      <c r="H8" s="13" t="n"/>
      <c r="I8" s="17">
        <f>IFERROR($G8/(1-IFERROR(INDEX('03.수수료'!$B:$B,MATCH($H8,'03.수수료'!$A:$A,0)),"")),"")</f>
        <v/>
      </c>
      <c r="J8" s="17">
        <f>IFERROR(I8*(1-IFERROR(INDEX('03.수수료'!$B:$B,MATCH($H8,'03.수수료'!$A:$A,0)),"")),"")</f>
        <v/>
      </c>
      <c r="K8" s="17">
        <f>IFERROR($G8/(1-IFERROR(INDEX('03.수수료'!$C:$C,MATCH($H8,'03.수수료'!$A:$A,0)),"")),"")</f>
        <v/>
      </c>
      <c r="L8" s="17">
        <f>IFERROR(K8*(1-IFERROR(INDEX('03.수수료'!$C:$C,MATCH($H8,'03.수수료'!$A:$A,0)),"")),"")</f>
        <v/>
      </c>
      <c r="M8" s="17">
        <f>IFERROR($G8/(1-IFERROR(INDEX('03.수수료'!$D:$D,MATCH($H8,'03.수수료'!$A:$A,0)),"")),"")</f>
        <v/>
      </c>
      <c r="N8" s="17">
        <f>IFERROR(M8*(1-IFERROR(INDEX('03.수수료'!$D:$D,MATCH($H8,'03.수수료'!$A:$A,0)),"")),"")</f>
        <v/>
      </c>
      <c r="O8" s="17">
        <f>IFERROR($G8/(1-IFERROR(INDEX('03.수수료'!$E:$E,MATCH($H8,'03.수수료'!$A:$A,0)),"")),"")</f>
        <v/>
      </c>
      <c r="P8" s="17">
        <f>IFERROR(O8*(1-IFERROR(INDEX('03.수수료'!$E:$E,MATCH($H8,'03.수수료'!$A:$A,0)),"")),"")</f>
        <v/>
      </c>
      <c r="Q8" s="17">
        <f>IFERROR($G8/(1-IFERROR(INDEX('03.수수료'!$F:$F,MATCH($H8,'03.수수료'!$A:$A,0)),"")),"")</f>
        <v/>
      </c>
      <c r="R8" s="17">
        <f>IFERROR(Q8*(1-IFERROR(INDEX('03.수수료'!$F:$F,MATCH($H8,'03.수수료'!$A:$A,0)),"")),"")</f>
        <v/>
      </c>
      <c r="S8" s="17">
        <f>IFERROR($G8/(1-IFERROR(INDEX('03.수수료'!$G:$G,MATCH($H8,'03.수수료'!$A:$A,0)),"")),"")</f>
        <v/>
      </c>
      <c r="T8" s="17">
        <f>IFERROR(S8*(1-IFERROR(INDEX('03.수수료'!$G:$G,MATCH($H8,'03.수수료'!$A:$A,0)),"")),"")</f>
        <v/>
      </c>
      <c r="U8" s="18" t="n"/>
    </row>
    <row r="9">
      <c r="A9" s="13" t="n"/>
      <c r="B9" s="13" t="n"/>
      <c r="C9" s="14">
        <f>IFERROR(LEN(B9),"")</f>
        <v/>
      </c>
      <c r="D9" s="13" t="n"/>
      <c r="E9" s="15" t="n"/>
      <c r="F9" s="16" t="n"/>
      <c r="G9" s="17">
        <f>IFERROR(E9*(1+F9),"")</f>
        <v/>
      </c>
      <c r="H9" s="13" t="n"/>
      <c r="I9" s="17">
        <f>IFERROR($G9/(1-IFERROR(INDEX('03.수수료'!$B:$B,MATCH($H9,'03.수수료'!$A:$A,0)),"")),"")</f>
        <v/>
      </c>
      <c r="J9" s="17">
        <f>IFERROR(I9*(1-IFERROR(INDEX('03.수수료'!$B:$B,MATCH($H9,'03.수수료'!$A:$A,0)),"")),"")</f>
        <v/>
      </c>
      <c r="K9" s="17">
        <f>IFERROR($G9/(1-IFERROR(INDEX('03.수수료'!$C:$C,MATCH($H9,'03.수수료'!$A:$A,0)),"")),"")</f>
        <v/>
      </c>
      <c r="L9" s="17">
        <f>IFERROR(K9*(1-IFERROR(INDEX('03.수수료'!$C:$C,MATCH($H9,'03.수수료'!$A:$A,0)),"")),"")</f>
        <v/>
      </c>
      <c r="M9" s="17">
        <f>IFERROR($G9/(1-IFERROR(INDEX('03.수수료'!$D:$D,MATCH($H9,'03.수수료'!$A:$A,0)),"")),"")</f>
        <v/>
      </c>
      <c r="N9" s="17">
        <f>IFERROR(M9*(1-IFERROR(INDEX('03.수수료'!$D:$D,MATCH($H9,'03.수수료'!$A:$A,0)),"")),"")</f>
        <v/>
      </c>
      <c r="O9" s="17">
        <f>IFERROR($G9/(1-IFERROR(INDEX('03.수수료'!$E:$E,MATCH($H9,'03.수수료'!$A:$A,0)),"")),"")</f>
        <v/>
      </c>
      <c r="P9" s="17">
        <f>IFERROR(O9*(1-IFERROR(INDEX('03.수수료'!$E:$E,MATCH($H9,'03.수수료'!$A:$A,0)),"")),"")</f>
        <v/>
      </c>
      <c r="Q9" s="17">
        <f>IFERROR($G9/(1-IFERROR(INDEX('03.수수료'!$F:$F,MATCH($H9,'03.수수료'!$A:$A,0)),"")),"")</f>
        <v/>
      </c>
      <c r="R9" s="17">
        <f>IFERROR(Q9*(1-IFERROR(INDEX('03.수수료'!$F:$F,MATCH($H9,'03.수수료'!$A:$A,0)),"")),"")</f>
        <v/>
      </c>
      <c r="S9" s="17">
        <f>IFERROR($G9/(1-IFERROR(INDEX('03.수수료'!$G:$G,MATCH($H9,'03.수수료'!$A:$A,0)),"")),"")</f>
        <v/>
      </c>
      <c r="T9" s="17">
        <f>IFERROR(S9*(1-IFERROR(INDEX('03.수수료'!$G:$G,MATCH($H9,'03.수수료'!$A:$A,0)),"")),"")</f>
        <v/>
      </c>
      <c r="U9" s="18" t="n"/>
    </row>
    <row r="10">
      <c r="A10" s="13" t="n"/>
      <c r="B10" s="13" t="n"/>
      <c r="C10" s="14">
        <f>IFERROR(LEN(B10),"")</f>
        <v/>
      </c>
      <c r="D10" s="13" t="n"/>
      <c r="E10" s="15" t="n"/>
      <c r="F10" s="16" t="n"/>
      <c r="G10" s="17">
        <f>IFERROR(E10*(1+F10),"")</f>
        <v/>
      </c>
      <c r="H10" s="13" t="n"/>
      <c r="I10" s="17">
        <f>IFERROR($G10/(1-IFERROR(INDEX('03.수수료'!$B:$B,MATCH($H10,'03.수수료'!$A:$A,0)),"")),"")</f>
        <v/>
      </c>
      <c r="J10" s="17">
        <f>IFERROR(I10*(1-IFERROR(INDEX('03.수수료'!$B:$B,MATCH($H10,'03.수수료'!$A:$A,0)),"")),"")</f>
        <v/>
      </c>
      <c r="K10" s="17">
        <f>IFERROR($G10/(1-IFERROR(INDEX('03.수수료'!$C:$C,MATCH($H10,'03.수수료'!$A:$A,0)),"")),"")</f>
        <v/>
      </c>
      <c r="L10" s="17">
        <f>IFERROR(K10*(1-IFERROR(INDEX('03.수수료'!$C:$C,MATCH($H10,'03.수수료'!$A:$A,0)),"")),"")</f>
        <v/>
      </c>
      <c r="M10" s="17">
        <f>IFERROR($G10/(1-IFERROR(INDEX('03.수수료'!$D:$D,MATCH($H10,'03.수수료'!$A:$A,0)),"")),"")</f>
        <v/>
      </c>
      <c r="N10" s="17">
        <f>IFERROR(M10*(1-IFERROR(INDEX('03.수수료'!$D:$D,MATCH($H10,'03.수수료'!$A:$A,0)),"")),"")</f>
        <v/>
      </c>
      <c r="O10" s="17">
        <f>IFERROR($G10/(1-IFERROR(INDEX('03.수수료'!$E:$E,MATCH($H10,'03.수수료'!$A:$A,0)),"")),"")</f>
        <v/>
      </c>
      <c r="P10" s="17">
        <f>IFERROR(O10*(1-IFERROR(INDEX('03.수수료'!$E:$E,MATCH($H10,'03.수수료'!$A:$A,0)),"")),"")</f>
        <v/>
      </c>
      <c r="Q10" s="17">
        <f>IFERROR($G10/(1-IFERROR(INDEX('03.수수료'!$F:$F,MATCH($H10,'03.수수료'!$A:$A,0)),"")),"")</f>
        <v/>
      </c>
      <c r="R10" s="17">
        <f>IFERROR(Q10*(1-IFERROR(INDEX('03.수수료'!$F:$F,MATCH($H10,'03.수수료'!$A:$A,0)),"")),"")</f>
        <v/>
      </c>
      <c r="S10" s="17">
        <f>IFERROR($G10/(1-IFERROR(INDEX('03.수수료'!$G:$G,MATCH($H10,'03.수수료'!$A:$A,0)),"")),"")</f>
        <v/>
      </c>
      <c r="T10" s="17">
        <f>IFERROR(S10*(1-IFERROR(INDEX('03.수수료'!$G:$G,MATCH($H10,'03.수수료'!$A:$A,0)),"")),"")</f>
        <v/>
      </c>
      <c r="U10" s="18" t="n"/>
    </row>
    <row r="11">
      <c r="A11" s="13" t="n"/>
      <c r="B11" s="13" t="n"/>
      <c r="C11" s="14">
        <f>IFERROR(LEN(B11),"")</f>
        <v/>
      </c>
      <c r="D11" s="13" t="n"/>
      <c r="E11" s="15" t="n"/>
      <c r="F11" s="16" t="n"/>
      <c r="G11" s="17">
        <f>IFERROR(E11*(1+F11),"")</f>
        <v/>
      </c>
      <c r="H11" s="13" t="n"/>
      <c r="I11" s="17">
        <f>IFERROR($G11/(1-IFERROR(INDEX('03.수수료'!$B:$B,MATCH($H11,'03.수수료'!$A:$A,0)),"")),"")</f>
        <v/>
      </c>
      <c r="J11" s="17">
        <f>IFERROR(I11*(1-IFERROR(INDEX('03.수수료'!$B:$B,MATCH($H11,'03.수수료'!$A:$A,0)),"")),"")</f>
        <v/>
      </c>
      <c r="K11" s="17">
        <f>IFERROR($G11/(1-IFERROR(INDEX('03.수수료'!$C:$C,MATCH($H11,'03.수수료'!$A:$A,0)),"")),"")</f>
        <v/>
      </c>
      <c r="L11" s="17">
        <f>IFERROR(K11*(1-IFERROR(INDEX('03.수수료'!$C:$C,MATCH($H11,'03.수수료'!$A:$A,0)),"")),"")</f>
        <v/>
      </c>
      <c r="M11" s="17">
        <f>IFERROR($G11/(1-IFERROR(INDEX('03.수수료'!$D:$D,MATCH($H11,'03.수수료'!$A:$A,0)),"")),"")</f>
        <v/>
      </c>
      <c r="N11" s="17">
        <f>IFERROR(M11*(1-IFERROR(INDEX('03.수수료'!$D:$D,MATCH($H11,'03.수수료'!$A:$A,0)),"")),"")</f>
        <v/>
      </c>
      <c r="O11" s="17">
        <f>IFERROR($G11/(1-IFERROR(INDEX('03.수수료'!$E:$E,MATCH($H11,'03.수수료'!$A:$A,0)),"")),"")</f>
        <v/>
      </c>
      <c r="P11" s="17">
        <f>IFERROR(O11*(1-IFERROR(INDEX('03.수수료'!$E:$E,MATCH($H11,'03.수수료'!$A:$A,0)),"")),"")</f>
        <v/>
      </c>
      <c r="Q11" s="17">
        <f>IFERROR($G11/(1-IFERROR(INDEX('03.수수료'!$F:$F,MATCH($H11,'03.수수료'!$A:$A,0)),"")),"")</f>
        <v/>
      </c>
      <c r="R11" s="17">
        <f>IFERROR(Q11*(1-IFERROR(INDEX('03.수수료'!$F:$F,MATCH($H11,'03.수수료'!$A:$A,0)),"")),"")</f>
        <v/>
      </c>
      <c r="S11" s="17">
        <f>IFERROR($G11/(1-IFERROR(INDEX('03.수수료'!$G:$G,MATCH($H11,'03.수수료'!$A:$A,0)),"")),"")</f>
        <v/>
      </c>
      <c r="T11" s="17">
        <f>IFERROR(S11*(1-IFERROR(INDEX('03.수수료'!$G:$G,MATCH($H11,'03.수수료'!$A:$A,0)),"")),"")</f>
        <v/>
      </c>
      <c r="U11" s="18" t="n"/>
    </row>
    <row r="12">
      <c r="A12" s="13" t="n"/>
      <c r="B12" s="13" t="n"/>
      <c r="C12" s="14">
        <f>IFERROR(LEN(B12),"")</f>
        <v/>
      </c>
      <c r="D12" s="13" t="n"/>
      <c r="E12" s="15" t="n"/>
      <c r="F12" s="16" t="n"/>
      <c r="G12" s="17">
        <f>IFERROR(E12*(1+F12),"")</f>
        <v/>
      </c>
      <c r="H12" s="13" t="n"/>
      <c r="I12" s="17">
        <f>IFERROR($G12/(1-IFERROR(INDEX('03.수수료'!$B:$B,MATCH($H12,'03.수수료'!$A:$A,0)),"")),"")</f>
        <v/>
      </c>
      <c r="J12" s="17">
        <f>IFERROR(I12*(1-IFERROR(INDEX('03.수수료'!$B:$B,MATCH($H12,'03.수수료'!$A:$A,0)),"")),"")</f>
        <v/>
      </c>
      <c r="K12" s="17">
        <f>IFERROR($G12/(1-IFERROR(INDEX('03.수수료'!$C:$C,MATCH($H12,'03.수수료'!$A:$A,0)),"")),"")</f>
        <v/>
      </c>
      <c r="L12" s="17">
        <f>IFERROR(K12*(1-IFERROR(INDEX('03.수수료'!$C:$C,MATCH($H12,'03.수수료'!$A:$A,0)),"")),"")</f>
        <v/>
      </c>
      <c r="M12" s="17">
        <f>IFERROR($G12/(1-IFERROR(INDEX('03.수수료'!$D:$D,MATCH($H12,'03.수수료'!$A:$A,0)),"")),"")</f>
        <v/>
      </c>
      <c r="N12" s="17">
        <f>IFERROR(M12*(1-IFERROR(INDEX('03.수수료'!$D:$D,MATCH($H12,'03.수수료'!$A:$A,0)),"")),"")</f>
        <v/>
      </c>
      <c r="O12" s="17">
        <f>IFERROR($G12/(1-IFERROR(INDEX('03.수수료'!$E:$E,MATCH($H12,'03.수수료'!$A:$A,0)),"")),"")</f>
        <v/>
      </c>
      <c r="P12" s="17">
        <f>IFERROR(O12*(1-IFERROR(INDEX('03.수수료'!$E:$E,MATCH($H12,'03.수수료'!$A:$A,0)),"")),"")</f>
        <v/>
      </c>
      <c r="Q12" s="17">
        <f>IFERROR($G12/(1-IFERROR(INDEX('03.수수료'!$F:$F,MATCH($H12,'03.수수료'!$A:$A,0)),"")),"")</f>
        <v/>
      </c>
      <c r="R12" s="17">
        <f>IFERROR(Q12*(1-IFERROR(INDEX('03.수수료'!$F:$F,MATCH($H12,'03.수수료'!$A:$A,0)),"")),"")</f>
        <v/>
      </c>
      <c r="S12" s="17">
        <f>IFERROR($G12/(1-IFERROR(INDEX('03.수수료'!$G:$G,MATCH($H12,'03.수수료'!$A:$A,0)),"")),"")</f>
        <v/>
      </c>
      <c r="T12" s="17">
        <f>IFERROR(S12*(1-IFERROR(INDEX('03.수수료'!$G:$G,MATCH($H12,'03.수수료'!$A:$A,0)),"")),"")</f>
        <v/>
      </c>
      <c r="U12" s="18" t="n"/>
    </row>
    <row r="13">
      <c r="A13" s="13" t="n"/>
      <c r="B13" s="13" t="n"/>
      <c r="C13" s="14">
        <f>IFERROR(LEN(B13),"")</f>
        <v/>
      </c>
      <c r="D13" s="13" t="n"/>
      <c r="E13" s="15" t="n"/>
      <c r="F13" s="16" t="n"/>
      <c r="G13" s="17">
        <f>IFERROR(E13*(1+F13),"")</f>
        <v/>
      </c>
      <c r="H13" s="13" t="n"/>
      <c r="I13" s="17">
        <f>IFERROR($G13/(1-IFERROR(INDEX('03.수수료'!$B:$B,MATCH($H13,'03.수수료'!$A:$A,0)),"")),"")</f>
        <v/>
      </c>
      <c r="J13" s="17">
        <f>IFERROR(I13*(1-IFERROR(INDEX('03.수수료'!$B:$B,MATCH($H13,'03.수수료'!$A:$A,0)),"")),"")</f>
        <v/>
      </c>
      <c r="K13" s="17">
        <f>IFERROR($G13/(1-IFERROR(INDEX('03.수수료'!$C:$C,MATCH($H13,'03.수수료'!$A:$A,0)),"")),"")</f>
        <v/>
      </c>
      <c r="L13" s="17">
        <f>IFERROR(K13*(1-IFERROR(INDEX('03.수수료'!$C:$C,MATCH($H13,'03.수수료'!$A:$A,0)),"")),"")</f>
        <v/>
      </c>
      <c r="M13" s="17">
        <f>IFERROR($G13/(1-IFERROR(INDEX('03.수수료'!$D:$D,MATCH($H13,'03.수수료'!$A:$A,0)),"")),"")</f>
        <v/>
      </c>
      <c r="N13" s="17">
        <f>IFERROR(M13*(1-IFERROR(INDEX('03.수수료'!$D:$D,MATCH($H13,'03.수수료'!$A:$A,0)),"")),"")</f>
        <v/>
      </c>
      <c r="O13" s="17">
        <f>IFERROR($G13/(1-IFERROR(INDEX('03.수수료'!$E:$E,MATCH($H13,'03.수수료'!$A:$A,0)),"")),"")</f>
        <v/>
      </c>
      <c r="P13" s="17">
        <f>IFERROR(O13*(1-IFERROR(INDEX('03.수수료'!$E:$E,MATCH($H13,'03.수수료'!$A:$A,0)),"")),"")</f>
        <v/>
      </c>
      <c r="Q13" s="17">
        <f>IFERROR($G13/(1-IFERROR(INDEX('03.수수료'!$F:$F,MATCH($H13,'03.수수료'!$A:$A,0)),"")),"")</f>
        <v/>
      </c>
      <c r="R13" s="17">
        <f>IFERROR(Q13*(1-IFERROR(INDEX('03.수수료'!$F:$F,MATCH($H13,'03.수수료'!$A:$A,0)),"")),"")</f>
        <v/>
      </c>
      <c r="S13" s="17">
        <f>IFERROR($G13/(1-IFERROR(INDEX('03.수수료'!$G:$G,MATCH($H13,'03.수수료'!$A:$A,0)),"")),"")</f>
        <v/>
      </c>
      <c r="T13" s="17">
        <f>IFERROR(S13*(1-IFERROR(INDEX('03.수수료'!$G:$G,MATCH($H13,'03.수수료'!$A:$A,0)),"")),"")</f>
        <v/>
      </c>
      <c r="U13" s="18" t="n"/>
    </row>
    <row r="14">
      <c r="A14" s="13" t="n"/>
      <c r="B14" s="13" t="n"/>
      <c r="C14" s="14">
        <f>IFERROR(LEN(B14),"")</f>
        <v/>
      </c>
      <c r="D14" s="13" t="n"/>
      <c r="E14" s="15" t="n"/>
      <c r="F14" s="16" t="n"/>
      <c r="G14" s="17">
        <f>IFERROR(E14*(1+F14),"")</f>
        <v/>
      </c>
      <c r="H14" s="13" t="n"/>
      <c r="I14" s="17">
        <f>IFERROR($G14/(1-IFERROR(INDEX('03.수수료'!$B:$B,MATCH($H14,'03.수수료'!$A:$A,0)),"")),"")</f>
        <v/>
      </c>
      <c r="J14" s="17">
        <f>IFERROR(I14*(1-IFERROR(INDEX('03.수수료'!$B:$B,MATCH($H14,'03.수수료'!$A:$A,0)),"")),"")</f>
        <v/>
      </c>
      <c r="K14" s="17">
        <f>IFERROR($G14/(1-IFERROR(INDEX('03.수수료'!$C:$C,MATCH($H14,'03.수수료'!$A:$A,0)),"")),"")</f>
        <v/>
      </c>
      <c r="L14" s="17">
        <f>IFERROR(K14*(1-IFERROR(INDEX('03.수수료'!$C:$C,MATCH($H14,'03.수수료'!$A:$A,0)),"")),"")</f>
        <v/>
      </c>
      <c r="M14" s="17">
        <f>IFERROR($G14/(1-IFERROR(INDEX('03.수수료'!$D:$D,MATCH($H14,'03.수수료'!$A:$A,0)),"")),"")</f>
        <v/>
      </c>
      <c r="N14" s="17">
        <f>IFERROR(M14*(1-IFERROR(INDEX('03.수수료'!$D:$D,MATCH($H14,'03.수수료'!$A:$A,0)),"")),"")</f>
        <v/>
      </c>
      <c r="O14" s="17">
        <f>IFERROR($G14/(1-IFERROR(INDEX('03.수수료'!$E:$E,MATCH($H14,'03.수수료'!$A:$A,0)),"")),"")</f>
        <v/>
      </c>
      <c r="P14" s="17">
        <f>IFERROR(O14*(1-IFERROR(INDEX('03.수수료'!$E:$E,MATCH($H14,'03.수수료'!$A:$A,0)),"")),"")</f>
        <v/>
      </c>
      <c r="Q14" s="17">
        <f>IFERROR($G14/(1-IFERROR(INDEX('03.수수료'!$F:$F,MATCH($H14,'03.수수료'!$A:$A,0)),"")),"")</f>
        <v/>
      </c>
      <c r="R14" s="17">
        <f>IFERROR(Q14*(1-IFERROR(INDEX('03.수수료'!$F:$F,MATCH($H14,'03.수수료'!$A:$A,0)),"")),"")</f>
        <v/>
      </c>
      <c r="S14" s="17">
        <f>IFERROR($G14/(1-IFERROR(INDEX('03.수수료'!$G:$G,MATCH($H14,'03.수수료'!$A:$A,0)),"")),"")</f>
        <v/>
      </c>
      <c r="T14" s="17">
        <f>IFERROR(S14*(1-IFERROR(INDEX('03.수수료'!$G:$G,MATCH($H14,'03.수수료'!$A:$A,0)),"")),"")</f>
        <v/>
      </c>
      <c r="U14" s="18" t="n"/>
    </row>
    <row r="15">
      <c r="A15" s="13" t="n"/>
      <c r="B15" s="13" t="n"/>
      <c r="C15" s="14">
        <f>IFERROR(LEN(B15),"")</f>
        <v/>
      </c>
      <c r="D15" s="13" t="n"/>
      <c r="E15" s="15" t="n"/>
      <c r="F15" s="16" t="n"/>
      <c r="G15" s="17">
        <f>IFERROR(E15*(1+F15),"")</f>
        <v/>
      </c>
      <c r="H15" s="13" t="n"/>
      <c r="I15" s="17">
        <f>IFERROR($G15/(1-IFERROR(INDEX('03.수수료'!$B:$B,MATCH($H15,'03.수수료'!$A:$A,0)),"")),"")</f>
        <v/>
      </c>
      <c r="J15" s="17">
        <f>IFERROR(I15*(1-IFERROR(INDEX('03.수수료'!$B:$B,MATCH($H15,'03.수수료'!$A:$A,0)),"")),"")</f>
        <v/>
      </c>
      <c r="K15" s="17">
        <f>IFERROR($G15/(1-IFERROR(INDEX('03.수수료'!$C:$C,MATCH($H15,'03.수수료'!$A:$A,0)),"")),"")</f>
        <v/>
      </c>
      <c r="L15" s="17">
        <f>IFERROR(K15*(1-IFERROR(INDEX('03.수수료'!$C:$C,MATCH($H15,'03.수수료'!$A:$A,0)),"")),"")</f>
        <v/>
      </c>
      <c r="M15" s="17">
        <f>IFERROR($G15/(1-IFERROR(INDEX('03.수수료'!$D:$D,MATCH($H15,'03.수수료'!$A:$A,0)),"")),"")</f>
        <v/>
      </c>
      <c r="N15" s="17">
        <f>IFERROR(M15*(1-IFERROR(INDEX('03.수수료'!$D:$D,MATCH($H15,'03.수수료'!$A:$A,0)),"")),"")</f>
        <v/>
      </c>
      <c r="O15" s="17">
        <f>IFERROR($G15/(1-IFERROR(INDEX('03.수수료'!$E:$E,MATCH($H15,'03.수수료'!$A:$A,0)),"")),"")</f>
        <v/>
      </c>
      <c r="P15" s="17">
        <f>IFERROR(O15*(1-IFERROR(INDEX('03.수수료'!$E:$E,MATCH($H15,'03.수수료'!$A:$A,0)),"")),"")</f>
        <v/>
      </c>
      <c r="Q15" s="17">
        <f>IFERROR($G15/(1-IFERROR(INDEX('03.수수료'!$F:$F,MATCH($H15,'03.수수료'!$A:$A,0)),"")),"")</f>
        <v/>
      </c>
      <c r="R15" s="17">
        <f>IFERROR(Q15*(1-IFERROR(INDEX('03.수수료'!$F:$F,MATCH($H15,'03.수수료'!$A:$A,0)),"")),"")</f>
        <v/>
      </c>
      <c r="S15" s="17">
        <f>IFERROR($G15/(1-IFERROR(INDEX('03.수수료'!$G:$G,MATCH($H15,'03.수수료'!$A:$A,0)),"")),"")</f>
        <v/>
      </c>
      <c r="T15" s="17">
        <f>IFERROR(S15*(1-IFERROR(INDEX('03.수수료'!$G:$G,MATCH($H15,'03.수수료'!$A:$A,0)),"")),"")</f>
        <v/>
      </c>
      <c r="U15" s="18" t="n"/>
    </row>
    <row r="16">
      <c r="A16" s="13" t="n"/>
      <c r="B16" s="13" t="n"/>
      <c r="C16" s="14">
        <f>IFERROR(LEN(B16),"")</f>
        <v/>
      </c>
      <c r="D16" s="13" t="n"/>
      <c r="E16" s="15" t="n"/>
      <c r="F16" s="16" t="n"/>
      <c r="G16" s="17">
        <f>IFERROR(E16*(1+F16),"")</f>
        <v/>
      </c>
      <c r="H16" s="13" t="n"/>
      <c r="I16" s="17">
        <f>IFERROR($G16/(1-IFERROR(INDEX('03.수수료'!$B:$B,MATCH($H16,'03.수수료'!$A:$A,0)),"")),"")</f>
        <v/>
      </c>
      <c r="J16" s="17">
        <f>IFERROR(I16*(1-IFERROR(INDEX('03.수수료'!$B:$B,MATCH($H16,'03.수수료'!$A:$A,0)),"")),"")</f>
        <v/>
      </c>
      <c r="K16" s="17">
        <f>IFERROR($G16/(1-IFERROR(INDEX('03.수수료'!$C:$C,MATCH($H16,'03.수수료'!$A:$A,0)),"")),"")</f>
        <v/>
      </c>
      <c r="L16" s="17">
        <f>IFERROR(K16*(1-IFERROR(INDEX('03.수수료'!$C:$C,MATCH($H16,'03.수수료'!$A:$A,0)),"")),"")</f>
        <v/>
      </c>
      <c r="M16" s="17">
        <f>IFERROR($G16/(1-IFERROR(INDEX('03.수수료'!$D:$D,MATCH($H16,'03.수수료'!$A:$A,0)),"")),"")</f>
        <v/>
      </c>
      <c r="N16" s="17">
        <f>IFERROR(M16*(1-IFERROR(INDEX('03.수수료'!$D:$D,MATCH($H16,'03.수수료'!$A:$A,0)),"")),"")</f>
        <v/>
      </c>
      <c r="O16" s="17">
        <f>IFERROR($G16/(1-IFERROR(INDEX('03.수수료'!$E:$E,MATCH($H16,'03.수수료'!$A:$A,0)),"")),"")</f>
        <v/>
      </c>
      <c r="P16" s="17">
        <f>IFERROR(O16*(1-IFERROR(INDEX('03.수수료'!$E:$E,MATCH($H16,'03.수수료'!$A:$A,0)),"")),"")</f>
        <v/>
      </c>
      <c r="Q16" s="17">
        <f>IFERROR($G16/(1-IFERROR(INDEX('03.수수료'!$F:$F,MATCH($H16,'03.수수료'!$A:$A,0)),"")),"")</f>
        <v/>
      </c>
      <c r="R16" s="17">
        <f>IFERROR(Q16*(1-IFERROR(INDEX('03.수수료'!$F:$F,MATCH($H16,'03.수수료'!$A:$A,0)),"")),"")</f>
        <v/>
      </c>
      <c r="S16" s="17">
        <f>IFERROR($G16/(1-IFERROR(INDEX('03.수수료'!$G:$G,MATCH($H16,'03.수수료'!$A:$A,0)),"")),"")</f>
        <v/>
      </c>
      <c r="T16" s="17">
        <f>IFERROR(S16*(1-IFERROR(INDEX('03.수수료'!$G:$G,MATCH($H16,'03.수수료'!$A:$A,0)),"")),"")</f>
        <v/>
      </c>
      <c r="U16" s="18" t="n"/>
    </row>
    <row r="17">
      <c r="A17" s="13" t="n"/>
      <c r="B17" s="13" t="n"/>
      <c r="C17" s="14">
        <f>IFERROR(LEN(B17),"")</f>
        <v/>
      </c>
      <c r="D17" s="13" t="n"/>
      <c r="E17" s="15" t="n"/>
      <c r="F17" s="16" t="n"/>
      <c r="G17" s="17">
        <f>IFERROR(E17*(1+F17),"")</f>
        <v/>
      </c>
      <c r="H17" s="13" t="n"/>
      <c r="I17" s="17">
        <f>IFERROR($G17/(1-IFERROR(INDEX('03.수수료'!$B:$B,MATCH($H17,'03.수수료'!$A:$A,0)),"")),"")</f>
        <v/>
      </c>
      <c r="J17" s="17">
        <f>IFERROR(I17*(1-IFERROR(INDEX('03.수수료'!$B:$B,MATCH($H17,'03.수수료'!$A:$A,0)),"")),"")</f>
        <v/>
      </c>
      <c r="K17" s="17">
        <f>IFERROR($G17/(1-IFERROR(INDEX('03.수수료'!$C:$C,MATCH($H17,'03.수수료'!$A:$A,0)),"")),"")</f>
        <v/>
      </c>
      <c r="L17" s="17">
        <f>IFERROR(K17*(1-IFERROR(INDEX('03.수수료'!$C:$C,MATCH($H17,'03.수수료'!$A:$A,0)),"")),"")</f>
        <v/>
      </c>
      <c r="M17" s="17">
        <f>IFERROR($G17/(1-IFERROR(INDEX('03.수수료'!$D:$D,MATCH($H17,'03.수수료'!$A:$A,0)),"")),"")</f>
        <v/>
      </c>
      <c r="N17" s="17">
        <f>IFERROR(M17*(1-IFERROR(INDEX('03.수수료'!$D:$D,MATCH($H17,'03.수수료'!$A:$A,0)),"")),"")</f>
        <v/>
      </c>
      <c r="O17" s="17">
        <f>IFERROR($G17/(1-IFERROR(INDEX('03.수수료'!$E:$E,MATCH($H17,'03.수수료'!$A:$A,0)),"")),"")</f>
        <v/>
      </c>
      <c r="P17" s="17">
        <f>IFERROR(O17*(1-IFERROR(INDEX('03.수수료'!$E:$E,MATCH($H17,'03.수수료'!$A:$A,0)),"")),"")</f>
        <v/>
      </c>
      <c r="Q17" s="17">
        <f>IFERROR($G17/(1-IFERROR(INDEX('03.수수료'!$F:$F,MATCH($H17,'03.수수료'!$A:$A,0)),"")),"")</f>
        <v/>
      </c>
      <c r="R17" s="17">
        <f>IFERROR(Q17*(1-IFERROR(INDEX('03.수수료'!$F:$F,MATCH($H17,'03.수수료'!$A:$A,0)),"")),"")</f>
        <v/>
      </c>
      <c r="S17" s="17">
        <f>IFERROR($G17/(1-IFERROR(INDEX('03.수수료'!$G:$G,MATCH($H17,'03.수수료'!$A:$A,0)),"")),"")</f>
        <v/>
      </c>
      <c r="T17" s="17">
        <f>IFERROR(S17*(1-IFERROR(INDEX('03.수수료'!$G:$G,MATCH($H17,'03.수수료'!$A:$A,0)),"")),"")</f>
        <v/>
      </c>
      <c r="U17" s="18" t="n"/>
    </row>
    <row r="18">
      <c r="A18" s="13" t="n"/>
      <c r="B18" s="13" t="n"/>
      <c r="C18" s="14">
        <f>IFERROR(LEN(B18),"")</f>
        <v/>
      </c>
      <c r="D18" s="13" t="n"/>
      <c r="E18" s="15" t="n"/>
      <c r="F18" s="16" t="n"/>
      <c r="G18" s="17">
        <f>IFERROR(E18*(1+F18),"")</f>
        <v/>
      </c>
      <c r="H18" s="13" t="n"/>
      <c r="I18" s="17">
        <f>IFERROR($G18/(1-IFERROR(INDEX('03.수수료'!$B:$B,MATCH($H18,'03.수수료'!$A:$A,0)),"")),"")</f>
        <v/>
      </c>
      <c r="J18" s="17">
        <f>IFERROR(I18*(1-IFERROR(INDEX('03.수수료'!$B:$B,MATCH($H18,'03.수수료'!$A:$A,0)),"")),"")</f>
        <v/>
      </c>
      <c r="K18" s="17">
        <f>IFERROR($G18/(1-IFERROR(INDEX('03.수수료'!$C:$C,MATCH($H18,'03.수수료'!$A:$A,0)),"")),"")</f>
        <v/>
      </c>
      <c r="L18" s="17">
        <f>IFERROR(K18*(1-IFERROR(INDEX('03.수수료'!$C:$C,MATCH($H18,'03.수수료'!$A:$A,0)),"")),"")</f>
        <v/>
      </c>
      <c r="M18" s="17">
        <f>IFERROR($G18/(1-IFERROR(INDEX('03.수수료'!$D:$D,MATCH($H18,'03.수수료'!$A:$A,0)),"")),"")</f>
        <v/>
      </c>
      <c r="N18" s="17">
        <f>IFERROR(M18*(1-IFERROR(INDEX('03.수수료'!$D:$D,MATCH($H18,'03.수수료'!$A:$A,0)),"")),"")</f>
        <v/>
      </c>
      <c r="O18" s="17">
        <f>IFERROR($G18/(1-IFERROR(INDEX('03.수수료'!$E:$E,MATCH($H18,'03.수수료'!$A:$A,0)),"")),"")</f>
        <v/>
      </c>
      <c r="P18" s="17">
        <f>IFERROR(O18*(1-IFERROR(INDEX('03.수수료'!$E:$E,MATCH($H18,'03.수수료'!$A:$A,0)),"")),"")</f>
        <v/>
      </c>
      <c r="Q18" s="17">
        <f>IFERROR($G18/(1-IFERROR(INDEX('03.수수료'!$F:$F,MATCH($H18,'03.수수료'!$A:$A,0)),"")),"")</f>
        <v/>
      </c>
      <c r="R18" s="17">
        <f>IFERROR(Q18*(1-IFERROR(INDEX('03.수수료'!$F:$F,MATCH($H18,'03.수수료'!$A:$A,0)),"")),"")</f>
        <v/>
      </c>
      <c r="S18" s="17">
        <f>IFERROR($G18/(1-IFERROR(INDEX('03.수수료'!$G:$G,MATCH($H18,'03.수수료'!$A:$A,0)),"")),"")</f>
        <v/>
      </c>
      <c r="T18" s="17">
        <f>IFERROR(S18*(1-IFERROR(INDEX('03.수수료'!$G:$G,MATCH($H18,'03.수수료'!$A:$A,0)),"")),"")</f>
        <v/>
      </c>
      <c r="U18" s="18" t="n"/>
    </row>
    <row r="19">
      <c r="A19" s="13" t="n"/>
      <c r="B19" s="13" t="n"/>
      <c r="C19" s="14">
        <f>IFERROR(LEN(B19),"")</f>
        <v/>
      </c>
      <c r="D19" s="13" t="n"/>
      <c r="E19" s="15" t="n"/>
      <c r="F19" s="16" t="n"/>
      <c r="G19" s="17">
        <f>IFERROR(E19*(1+F19),"")</f>
        <v/>
      </c>
      <c r="H19" s="13" t="n"/>
      <c r="I19" s="17">
        <f>IFERROR($G19/(1-IFERROR(INDEX('03.수수료'!$B:$B,MATCH($H19,'03.수수료'!$A:$A,0)),"")),"")</f>
        <v/>
      </c>
      <c r="J19" s="17">
        <f>IFERROR(I19*(1-IFERROR(INDEX('03.수수료'!$B:$B,MATCH($H19,'03.수수료'!$A:$A,0)),"")),"")</f>
        <v/>
      </c>
      <c r="K19" s="17">
        <f>IFERROR($G19/(1-IFERROR(INDEX('03.수수료'!$C:$C,MATCH($H19,'03.수수료'!$A:$A,0)),"")),"")</f>
        <v/>
      </c>
      <c r="L19" s="17">
        <f>IFERROR(K19*(1-IFERROR(INDEX('03.수수료'!$C:$C,MATCH($H19,'03.수수료'!$A:$A,0)),"")),"")</f>
        <v/>
      </c>
      <c r="M19" s="17">
        <f>IFERROR($G19/(1-IFERROR(INDEX('03.수수료'!$D:$D,MATCH($H19,'03.수수료'!$A:$A,0)),"")),"")</f>
        <v/>
      </c>
      <c r="N19" s="17">
        <f>IFERROR(M19*(1-IFERROR(INDEX('03.수수료'!$D:$D,MATCH($H19,'03.수수료'!$A:$A,0)),"")),"")</f>
        <v/>
      </c>
      <c r="O19" s="17">
        <f>IFERROR($G19/(1-IFERROR(INDEX('03.수수료'!$E:$E,MATCH($H19,'03.수수료'!$A:$A,0)),"")),"")</f>
        <v/>
      </c>
      <c r="P19" s="17">
        <f>IFERROR(O19*(1-IFERROR(INDEX('03.수수료'!$E:$E,MATCH($H19,'03.수수료'!$A:$A,0)),"")),"")</f>
        <v/>
      </c>
      <c r="Q19" s="17">
        <f>IFERROR($G19/(1-IFERROR(INDEX('03.수수료'!$F:$F,MATCH($H19,'03.수수료'!$A:$A,0)),"")),"")</f>
        <v/>
      </c>
      <c r="R19" s="17">
        <f>IFERROR(Q19*(1-IFERROR(INDEX('03.수수료'!$F:$F,MATCH($H19,'03.수수료'!$A:$A,0)),"")),"")</f>
        <v/>
      </c>
      <c r="S19" s="17">
        <f>IFERROR($G19/(1-IFERROR(INDEX('03.수수료'!$G:$G,MATCH($H19,'03.수수료'!$A:$A,0)),"")),"")</f>
        <v/>
      </c>
      <c r="T19" s="17">
        <f>IFERROR(S19*(1-IFERROR(INDEX('03.수수료'!$G:$G,MATCH($H19,'03.수수료'!$A:$A,0)),"")),"")</f>
        <v/>
      </c>
      <c r="U19" s="18" t="n"/>
    </row>
    <row r="20">
      <c r="A20" s="13" t="n"/>
      <c r="B20" s="13" t="n"/>
      <c r="C20" s="14">
        <f>IFERROR(LEN(B20),"")</f>
        <v/>
      </c>
      <c r="D20" s="13" t="n"/>
      <c r="E20" s="15" t="n"/>
      <c r="F20" s="16" t="n"/>
      <c r="G20" s="17">
        <f>IFERROR(E20*(1+F20),"")</f>
        <v/>
      </c>
      <c r="H20" s="13" t="n"/>
      <c r="I20" s="17">
        <f>IFERROR($G20/(1-IFERROR(INDEX('03.수수료'!$B:$B,MATCH($H20,'03.수수료'!$A:$A,0)),"")),"")</f>
        <v/>
      </c>
      <c r="J20" s="17">
        <f>IFERROR(I20*(1-IFERROR(INDEX('03.수수료'!$B:$B,MATCH($H20,'03.수수료'!$A:$A,0)),"")),"")</f>
        <v/>
      </c>
      <c r="K20" s="17">
        <f>IFERROR($G20/(1-IFERROR(INDEX('03.수수료'!$C:$C,MATCH($H20,'03.수수료'!$A:$A,0)),"")),"")</f>
        <v/>
      </c>
      <c r="L20" s="17">
        <f>IFERROR(K20*(1-IFERROR(INDEX('03.수수료'!$C:$C,MATCH($H20,'03.수수료'!$A:$A,0)),"")),"")</f>
        <v/>
      </c>
      <c r="M20" s="17">
        <f>IFERROR($G20/(1-IFERROR(INDEX('03.수수료'!$D:$D,MATCH($H20,'03.수수료'!$A:$A,0)),"")),"")</f>
        <v/>
      </c>
      <c r="N20" s="17">
        <f>IFERROR(M20*(1-IFERROR(INDEX('03.수수료'!$D:$D,MATCH($H20,'03.수수료'!$A:$A,0)),"")),"")</f>
        <v/>
      </c>
      <c r="O20" s="17">
        <f>IFERROR($G20/(1-IFERROR(INDEX('03.수수료'!$E:$E,MATCH($H20,'03.수수료'!$A:$A,0)),"")),"")</f>
        <v/>
      </c>
      <c r="P20" s="17">
        <f>IFERROR(O20*(1-IFERROR(INDEX('03.수수료'!$E:$E,MATCH($H20,'03.수수료'!$A:$A,0)),"")),"")</f>
        <v/>
      </c>
      <c r="Q20" s="17">
        <f>IFERROR($G20/(1-IFERROR(INDEX('03.수수료'!$F:$F,MATCH($H20,'03.수수료'!$A:$A,0)),"")),"")</f>
        <v/>
      </c>
      <c r="R20" s="17">
        <f>IFERROR(Q20*(1-IFERROR(INDEX('03.수수료'!$F:$F,MATCH($H20,'03.수수료'!$A:$A,0)),"")),"")</f>
        <v/>
      </c>
      <c r="S20" s="17">
        <f>IFERROR($G20/(1-IFERROR(INDEX('03.수수료'!$G:$G,MATCH($H20,'03.수수료'!$A:$A,0)),"")),"")</f>
        <v/>
      </c>
      <c r="T20" s="17">
        <f>IFERROR(S20*(1-IFERROR(INDEX('03.수수료'!$G:$G,MATCH($H20,'03.수수료'!$A:$A,0)),"")),"")</f>
        <v/>
      </c>
      <c r="U20" s="18" t="n"/>
    </row>
    <row r="21">
      <c r="A21" s="13" t="n"/>
      <c r="B21" s="13" t="n"/>
      <c r="C21" s="14">
        <f>IFERROR(LEN(B21),"")</f>
        <v/>
      </c>
      <c r="D21" s="13" t="n"/>
      <c r="E21" s="15" t="n"/>
      <c r="F21" s="16" t="n"/>
      <c r="G21" s="17">
        <f>IFERROR(E21*(1+F21),"")</f>
        <v/>
      </c>
      <c r="H21" s="13" t="n"/>
      <c r="I21" s="17">
        <f>IFERROR($G21/(1-IFERROR(INDEX('03.수수료'!$B:$B,MATCH($H21,'03.수수료'!$A:$A,0)),"")),"")</f>
        <v/>
      </c>
      <c r="J21" s="17">
        <f>IFERROR(I21*(1-IFERROR(INDEX('03.수수료'!$B:$B,MATCH($H21,'03.수수료'!$A:$A,0)),"")),"")</f>
        <v/>
      </c>
      <c r="K21" s="17">
        <f>IFERROR($G21/(1-IFERROR(INDEX('03.수수료'!$C:$C,MATCH($H21,'03.수수료'!$A:$A,0)),"")),"")</f>
        <v/>
      </c>
      <c r="L21" s="17">
        <f>IFERROR(K21*(1-IFERROR(INDEX('03.수수료'!$C:$C,MATCH($H21,'03.수수료'!$A:$A,0)),"")),"")</f>
        <v/>
      </c>
      <c r="M21" s="17">
        <f>IFERROR($G21/(1-IFERROR(INDEX('03.수수료'!$D:$D,MATCH($H21,'03.수수료'!$A:$A,0)),"")),"")</f>
        <v/>
      </c>
      <c r="N21" s="17">
        <f>IFERROR(M21*(1-IFERROR(INDEX('03.수수료'!$D:$D,MATCH($H21,'03.수수료'!$A:$A,0)),"")),"")</f>
        <v/>
      </c>
      <c r="O21" s="17">
        <f>IFERROR($G21/(1-IFERROR(INDEX('03.수수료'!$E:$E,MATCH($H21,'03.수수료'!$A:$A,0)),"")),"")</f>
        <v/>
      </c>
      <c r="P21" s="17">
        <f>IFERROR(O21*(1-IFERROR(INDEX('03.수수료'!$E:$E,MATCH($H21,'03.수수료'!$A:$A,0)),"")),"")</f>
        <v/>
      </c>
      <c r="Q21" s="17">
        <f>IFERROR($G21/(1-IFERROR(INDEX('03.수수료'!$F:$F,MATCH($H21,'03.수수료'!$A:$A,0)),"")),"")</f>
        <v/>
      </c>
      <c r="R21" s="17">
        <f>IFERROR(Q21*(1-IFERROR(INDEX('03.수수료'!$F:$F,MATCH($H21,'03.수수료'!$A:$A,0)),"")),"")</f>
        <v/>
      </c>
      <c r="S21" s="17">
        <f>IFERROR($G21/(1-IFERROR(INDEX('03.수수료'!$G:$G,MATCH($H21,'03.수수료'!$A:$A,0)),"")),"")</f>
        <v/>
      </c>
      <c r="T21" s="17">
        <f>IFERROR(S21*(1-IFERROR(INDEX('03.수수료'!$G:$G,MATCH($H21,'03.수수료'!$A:$A,0)),"")),"")</f>
        <v/>
      </c>
      <c r="U21" s="18" t="n"/>
    </row>
    <row r="22">
      <c r="A22" s="13" t="n"/>
      <c r="B22" s="13" t="n"/>
      <c r="C22" s="14">
        <f>IFERROR(LEN(B22),"")</f>
        <v/>
      </c>
      <c r="D22" s="13" t="n"/>
      <c r="E22" s="15" t="n"/>
      <c r="F22" s="16" t="n"/>
      <c r="G22" s="17">
        <f>IFERROR(E22*(1+F22),"")</f>
        <v/>
      </c>
      <c r="H22" s="13" t="n"/>
      <c r="I22" s="17">
        <f>IFERROR($G22/(1-IFERROR(INDEX('03.수수료'!$B:$B,MATCH($H22,'03.수수료'!$A:$A,0)),"")),"")</f>
        <v/>
      </c>
      <c r="J22" s="17">
        <f>IFERROR(I22*(1-IFERROR(INDEX('03.수수료'!$B:$B,MATCH($H22,'03.수수료'!$A:$A,0)),"")),"")</f>
        <v/>
      </c>
      <c r="K22" s="17">
        <f>IFERROR($G22/(1-IFERROR(INDEX('03.수수료'!$C:$C,MATCH($H22,'03.수수료'!$A:$A,0)),"")),"")</f>
        <v/>
      </c>
      <c r="L22" s="17">
        <f>IFERROR(K22*(1-IFERROR(INDEX('03.수수료'!$C:$C,MATCH($H22,'03.수수료'!$A:$A,0)),"")),"")</f>
        <v/>
      </c>
      <c r="M22" s="17">
        <f>IFERROR($G22/(1-IFERROR(INDEX('03.수수료'!$D:$D,MATCH($H22,'03.수수료'!$A:$A,0)),"")),"")</f>
        <v/>
      </c>
      <c r="N22" s="17">
        <f>IFERROR(M22*(1-IFERROR(INDEX('03.수수료'!$D:$D,MATCH($H22,'03.수수료'!$A:$A,0)),"")),"")</f>
        <v/>
      </c>
      <c r="O22" s="17">
        <f>IFERROR($G22/(1-IFERROR(INDEX('03.수수료'!$E:$E,MATCH($H22,'03.수수료'!$A:$A,0)),"")),"")</f>
        <v/>
      </c>
      <c r="P22" s="17">
        <f>IFERROR(O22*(1-IFERROR(INDEX('03.수수료'!$E:$E,MATCH($H22,'03.수수료'!$A:$A,0)),"")),"")</f>
        <v/>
      </c>
      <c r="Q22" s="17">
        <f>IFERROR($G22/(1-IFERROR(INDEX('03.수수료'!$F:$F,MATCH($H22,'03.수수료'!$A:$A,0)),"")),"")</f>
        <v/>
      </c>
      <c r="R22" s="17">
        <f>IFERROR(Q22*(1-IFERROR(INDEX('03.수수료'!$F:$F,MATCH($H22,'03.수수료'!$A:$A,0)),"")),"")</f>
        <v/>
      </c>
      <c r="S22" s="17">
        <f>IFERROR($G22/(1-IFERROR(INDEX('03.수수료'!$G:$G,MATCH($H22,'03.수수료'!$A:$A,0)),"")),"")</f>
        <v/>
      </c>
      <c r="T22" s="17">
        <f>IFERROR(S22*(1-IFERROR(INDEX('03.수수료'!$G:$G,MATCH($H22,'03.수수료'!$A:$A,0)),"")),"")</f>
        <v/>
      </c>
      <c r="U22" s="18" t="n"/>
    </row>
    <row r="23">
      <c r="A23" s="13" t="n"/>
      <c r="B23" s="13" t="n"/>
      <c r="C23" s="14">
        <f>IFERROR(LEN(B23),"")</f>
        <v/>
      </c>
      <c r="D23" s="13" t="n"/>
      <c r="E23" s="15" t="n"/>
      <c r="F23" s="16" t="n"/>
      <c r="G23" s="17">
        <f>IFERROR(E23*(1+F23),"")</f>
        <v/>
      </c>
      <c r="H23" s="13" t="n"/>
      <c r="I23" s="17">
        <f>IFERROR($G23/(1-IFERROR(INDEX('03.수수료'!$B:$B,MATCH($H23,'03.수수료'!$A:$A,0)),"")),"")</f>
        <v/>
      </c>
      <c r="J23" s="17">
        <f>IFERROR(I23*(1-IFERROR(INDEX('03.수수료'!$B:$B,MATCH($H23,'03.수수료'!$A:$A,0)),"")),"")</f>
        <v/>
      </c>
      <c r="K23" s="17">
        <f>IFERROR($G23/(1-IFERROR(INDEX('03.수수료'!$C:$C,MATCH($H23,'03.수수료'!$A:$A,0)),"")),"")</f>
        <v/>
      </c>
      <c r="L23" s="17">
        <f>IFERROR(K23*(1-IFERROR(INDEX('03.수수료'!$C:$C,MATCH($H23,'03.수수료'!$A:$A,0)),"")),"")</f>
        <v/>
      </c>
      <c r="M23" s="17">
        <f>IFERROR($G23/(1-IFERROR(INDEX('03.수수료'!$D:$D,MATCH($H23,'03.수수료'!$A:$A,0)),"")),"")</f>
        <v/>
      </c>
      <c r="N23" s="17">
        <f>IFERROR(M23*(1-IFERROR(INDEX('03.수수료'!$D:$D,MATCH($H23,'03.수수료'!$A:$A,0)),"")),"")</f>
        <v/>
      </c>
      <c r="O23" s="17">
        <f>IFERROR($G23/(1-IFERROR(INDEX('03.수수료'!$E:$E,MATCH($H23,'03.수수료'!$A:$A,0)),"")),"")</f>
        <v/>
      </c>
      <c r="P23" s="17">
        <f>IFERROR(O23*(1-IFERROR(INDEX('03.수수료'!$E:$E,MATCH($H23,'03.수수료'!$A:$A,0)),"")),"")</f>
        <v/>
      </c>
      <c r="Q23" s="17">
        <f>IFERROR($G23/(1-IFERROR(INDEX('03.수수료'!$F:$F,MATCH($H23,'03.수수료'!$A:$A,0)),"")),"")</f>
        <v/>
      </c>
      <c r="R23" s="17">
        <f>IFERROR(Q23*(1-IFERROR(INDEX('03.수수료'!$F:$F,MATCH($H23,'03.수수료'!$A:$A,0)),"")),"")</f>
        <v/>
      </c>
      <c r="S23" s="17">
        <f>IFERROR($G23/(1-IFERROR(INDEX('03.수수료'!$G:$G,MATCH($H23,'03.수수료'!$A:$A,0)),"")),"")</f>
        <v/>
      </c>
      <c r="T23" s="17">
        <f>IFERROR(S23*(1-IFERROR(INDEX('03.수수료'!$G:$G,MATCH($H23,'03.수수료'!$A:$A,0)),"")),"")</f>
        <v/>
      </c>
      <c r="U23" s="18" t="n"/>
    </row>
    <row r="24">
      <c r="A24" s="13" t="n"/>
      <c r="B24" s="13" t="n"/>
      <c r="C24" s="14">
        <f>IFERROR(LEN(B24),"")</f>
        <v/>
      </c>
      <c r="D24" s="13" t="n"/>
      <c r="E24" s="15" t="n"/>
      <c r="F24" s="16" t="n"/>
      <c r="G24" s="17">
        <f>IFERROR(E24*(1+F24),"")</f>
        <v/>
      </c>
      <c r="H24" s="13" t="n"/>
      <c r="I24" s="17">
        <f>IFERROR($G24/(1-IFERROR(INDEX('03.수수료'!$B:$B,MATCH($H24,'03.수수료'!$A:$A,0)),"")),"")</f>
        <v/>
      </c>
      <c r="J24" s="17">
        <f>IFERROR(I24*(1-IFERROR(INDEX('03.수수료'!$B:$B,MATCH($H24,'03.수수료'!$A:$A,0)),"")),"")</f>
        <v/>
      </c>
      <c r="K24" s="17">
        <f>IFERROR($G24/(1-IFERROR(INDEX('03.수수료'!$C:$C,MATCH($H24,'03.수수료'!$A:$A,0)),"")),"")</f>
        <v/>
      </c>
      <c r="L24" s="17">
        <f>IFERROR(K24*(1-IFERROR(INDEX('03.수수료'!$C:$C,MATCH($H24,'03.수수료'!$A:$A,0)),"")),"")</f>
        <v/>
      </c>
      <c r="M24" s="17">
        <f>IFERROR($G24/(1-IFERROR(INDEX('03.수수료'!$D:$D,MATCH($H24,'03.수수료'!$A:$A,0)),"")),"")</f>
        <v/>
      </c>
      <c r="N24" s="17">
        <f>IFERROR(M24*(1-IFERROR(INDEX('03.수수료'!$D:$D,MATCH($H24,'03.수수료'!$A:$A,0)),"")),"")</f>
        <v/>
      </c>
      <c r="O24" s="17">
        <f>IFERROR($G24/(1-IFERROR(INDEX('03.수수료'!$E:$E,MATCH($H24,'03.수수료'!$A:$A,0)),"")),"")</f>
        <v/>
      </c>
      <c r="P24" s="17">
        <f>IFERROR(O24*(1-IFERROR(INDEX('03.수수료'!$E:$E,MATCH($H24,'03.수수료'!$A:$A,0)),"")),"")</f>
        <v/>
      </c>
      <c r="Q24" s="17">
        <f>IFERROR($G24/(1-IFERROR(INDEX('03.수수료'!$F:$F,MATCH($H24,'03.수수료'!$A:$A,0)),"")),"")</f>
        <v/>
      </c>
      <c r="R24" s="17">
        <f>IFERROR(Q24*(1-IFERROR(INDEX('03.수수료'!$F:$F,MATCH($H24,'03.수수료'!$A:$A,0)),"")),"")</f>
        <v/>
      </c>
      <c r="S24" s="17">
        <f>IFERROR($G24/(1-IFERROR(INDEX('03.수수료'!$G:$G,MATCH($H24,'03.수수료'!$A:$A,0)),"")),"")</f>
        <v/>
      </c>
      <c r="T24" s="17">
        <f>IFERROR(S24*(1-IFERROR(INDEX('03.수수료'!$G:$G,MATCH($H24,'03.수수료'!$A:$A,0)),"")),"")</f>
        <v/>
      </c>
      <c r="U24" s="18" t="n"/>
    </row>
    <row r="25">
      <c r="A25" s="13" t="n"/>
      <c r="B25" s="13" t="n"/>
      <c r="C25" s="14">
        <f>IFERROR(LEN(B25),"")</f>
        <v/>
      </c>
      <c r="D25" s="13" t="n"/>
      <c r="E25" s="15" t="n"/>
      <c r="F25" s="16" t="n"/>
      <c r="G25" s="17">
        <f>IFERROR(E25*(1+F25),"")</f>
        <v/>
      </c>
      <c r="H25" s="13" t="n"/>
      <c r="I25" s="17">
        <f>IFERROR($G25/(1-IFERROR(INDEX('03.수수료'!$B:$B,MATCH($H25,'03.수수료'!$A:$A,0)),"")),"")</f>
        <v/>
      </c>
      <c r="J25" s="17">
        <f>IFERROR(I25*(1-IFERROR(INDEX('03.수수료'!$B:$B,MATCH($H25,'03.수수료'!$A:$A,0)),"")),"")</f>
        <v/>
      </c>
      <c r="K25" s="17">
        <f>IFERROR($G25/(1-IFERROR(INDEX('03.수수료'!$C:$C,MATCH($H25,'03.수수료'!$A:$A,0)),"")),"")</f>
        <v/>
      </c>
      <c r="L25" s="17">
        <f>IFERROR(K25*(1-IFERROR(INDEX('03.수수료'!$C:$C,MATCH($H25,'03.수수료'!$A:$A,0)),"")),"")</f>
        <v/>
      </c>
      <c r="M25" s="17">
        <f>IFERROR($G25/(1-IFERROR(INDEX('03.수수료'!$D:$D,MATCH($H25,'03.수수료'!$A:$A,0)),"")),"")</f>
        <v/>
      </c>
      <c r="N25" s="17">
        <f>IFERROR(M25*(1-IFERROR(INDEX('03.수수료'!$D:$D,MATCH($H25,'03.수수료'!$A:$A,0)),"")),"")</f>
        <v/>
      </c>
      <c r="O25" s="17">
        <f>IFERROR($G25/(1-IFERROR(INDEX('03.수수료'!$E:$E,MATCH($H25,'03.수수료'!$A:$A,0)),"")),"")</f>
        <v/>
      </c>
      <c r="P25" s="17">
        <f>IFERROR(O25*(1-IFERROR(INDEX('03.수수료'!$E:$E,MATCH($H25,'03.수수료'!$A:$A,0)),"")),"")</f>
        <v/>
      </c>
      <c r="Q25" s="17">
        <f>IFERROR($G25/(1-IFERROR(INDEX('03.수수료'!$F:$F,MATCH($H25,'03.수수료'!$A:$A,0)),"")),"")</f>
        <v/>
      </c>
      <c r="R25" s="17">
        <f>IFERROR(Q25*(1-IFERROR(INDEX('03.수수료'!$F:$F,MATCH($H25,'03.수수료'!$A:$A,0)),"")),"")</f>
        <v/>
      </c>
      <c r="S25" s="17">
        <f>IFERROR($G25/(1-IFERROR(INDEX('03.수수료'!$G:$G,MATCH($H25,'03.수수료'!$A:$A,0)),"")),"")</f>
        <v/>
      </c>
      <c r="T25" s="17">
        <f>IFERROR(S25*(1-IFERROR(INDEX('03.수수료'!$G:$G,MATCH($H25,'03.수수료'!$A:$A,0)),"")),"")</f>
        <v/>
      </c>
      <c r="U25" s="18" t="n"/>
    </row>
    <row r="26">
      <c r="A26" s="13" t="n"/>
      <c r="B26" s="13" t="n"/>
      <c r="C26" s="14">
        <f>IFERROR(LEN(B26),"")</f>
        <v/>
      </c>
      <c r="D26" s="13" t="n"/>
      <c r="E26" s="15" t="n"/>
      <c r="F26" s="16" t="n"/>
      <c r="G26" s="17">
        <f>IFERROR(E26*(1+F26),"")</f>
        <v/>
      </c>
      <c r="H26" s="13" t="n"/>
      <c r="I26" s="17">
        <f>IFERROR($G26/(1-IFERROR(INDEX('03.수수료'!$B:$B,MATCH($H26,'03.수수료'!$A:$A,0)),"")),"")</f>
        <v/>
      </c>
      <c r="J26" s="17">
        <f>IFERROR(I26*(1-IFERROR(INDEX('03.수수료'!$B:$B,MATCH($H26,'03.수수료'!$A:$A,0)),"")),"")</f>
        <v/>
      </c>
      <c r="K26" s="17">
        <f>IFERROR($G26/(1-IFERROR(INDEX('03.수수료'!$C:$C,MATCH($H26,'03.수수료'!$A:$A,0)),"")),"")</f>
        <v/>
      </c>
      <c r="L26" s="17">
        <f>IFERROR(K26*(1-IFERROR(INDEX('03.수수료'!$C:$C,MATCH($H26,'03.수수료'!$A:$A,0)),"")),"")</f>
        <v/>
      </c>
      <c r="M26" s="17">
        <f>IFERROR($G26/(1-IFERROR(INDEX('03.수수료'!$D:$D,MATCH($H26,'03.수수료'!$A:$A,0)),"")),"")</f>
        <v/>
      </c>
      <c r="N26" s="17">
        <f>IFERROR(M26*(1-IFERROR(INDEX('03.수수료'!$D:$D,MATCH($H26,'03.수수료'!$A:$A,0)),"")),"")</f>
        <v/>
      </c>
      <c r="O26" s="17">
        <f>IFERROR($G26/(1-IFERROR(INDEX('03.수수료'!$E:$E,MATCH($H26,'03.수수료'!$A:$A,0)),"")),"")</f>
        <v/>
      </c>
      <c r="P26" s="17">
        <f>IFERROR(O26*(1-IFERROR(INDEX('03.수수료'!$E:$E,MATCH($H26,'03.수수료'!$A:$A,0)),"")),"")</f>
        <v/>
      </c>
      <c r="Q26" s="17">
        <f>IFERROR($G26/(1-IFERROR(INDEX('03.수수료'!$F:$F,MATCH($H26,'03.수수료'!$A:$A,0)),"")),"")</f>
        <v/>
      </c>
      <c r="R26" s="17">
        <f>IFERROR(Q26*(1-IFERROR(INDEX('03.수수료'!$F:$F,MATCH($H26,'03.수수료'!$A:$A,0)),"")),"")</f>
        <v/>
      </c>
      <c r="S26" s="17">
        <f>IFERROR($G26/(1-IFERROR(INDEX('03.수수료'!$G:$G,MATCH($H26,'03.수수료'!$A:$A,0)),"")),"")</f>
        <v/>
      </c>
      <c r="T26" s="17">
        <f>IFERROR(S26*(1-IFERROR(INDEX('03.수수료'!$G:$G,MATCH($H26,'03.수수료'!$A:$A,0)),"")),"")</f>
        <v/>
      </c>
      <c r="U26" s="18" t="n"/>
    </row>
    <row r="27">
      <c r="A27" s="13" t="n"/>
      <c r="B27" s="13" t="n"/>
      <c r="C27" s="14">
        <f>IFERROR(LEN(B27),"")</f>
        <v/>
      </c>
      <c r="D27" s="13" t="n"/>
      <c r="E27" s="15" t="n"/>
      <c r="F27" s="16" t="n"/>
      <c r="G27" s="17">
        <f>IFERROR(E27*(1+F27),"")</f>
        <v/>
      </c>
      <c r="H27" s="13" t="n"/>
      <c r="I27" s="17">
        <f>IFERROR($G27/(1-IFERROR(INDEX('03.수수료'!$B:$B,MATCH($H27,'03.수수료'!$A:$A,0)),"")),"")</f>
        <v/>
      </c>
      <c r="J27" s="17">
        <f>IFERROR(I27*(1-IFERROR(INDEX('03.수수료'!$B:$B,MATCH($H27,'03.수수료'!$A:$A,0)),"")),"")</f>
        <v/>
      </c>
      <c r="K27" s="17">
        <f>IFERROR($G27/(1-IFERROR(INDEX('03.수수료'!$C:$C,MATCH($H27,'03.수수료'!$A:$A,0)),"")),"")</f>
        <v/>
      </c>
      <c r="L27" s="17">
        <f>IFERROR(K27*(1-IFERROR(INDEX('03.수수료'!$C:$C,MATCH($H27,'03.수수료'!$A:$A,0)),"")),"")</f>
        <v/>
      </c>
      <c r="M27" s="17">
        <f>IFERROR($G27/(1-IFERROR(INDEX('03.수수료'!$D:$D,MATCH($H27,'03.수수료'!$A:$A,0)),"")),"")</f>
        <v/>
      </c>
      <c r="N27" s="17">
        <f>IFERROR(M27*(1-IFERROR(INDEX('03.수수료'!$D:$D,MATCH($H27,'03.수수료'!$A:$A,0)),"")),"")</f>
        <v/>
      </c>
      <c r="O27" s="17">
        <f>IFERROR($G27/(1-IFERROR(INDEX('03.수수료'!$E:$E,MATCH($H27,'03.수수료'!$A:$A,0)),"")),"")</f>
        <v/>
      </c>
      <c r="P27" s="17">
        <f>IFERROR(O27*(1-IFERROR(INDEX('03.수수료'!$E:$E,MATCH($H27,'03.수수료'!$A:$A,0)),"")),"")</f>
        <v/>
      </c>
      <c r="Q27" s="17">
        <f>IFERROR($G27/(1-IFERROR(INDEX('03.수수료'!$F:$F,MATCH($H27,'03.수수료'!$A:$A,0)),"")),"")</f>
        <v/>
      </c>
      <c r="R27" s="17">
        <f>IFERROR(Q27*(1-IFERROR(INDEX('03.수수료'!$F:$F,MATCH($H27,'03.수수료'!$A:$A,0)),"")),"")</f>
        <v/>
      </c>
      <c r="S27" s="17">
        <f>IFERROR($G27/(1-IFERROR(INDEX('03.수수료'!$G:$G,MATCH($H27,'03.수수료'!$A:$A,0)),"")),"")</f>
        <v/>
      </c>
      <c r="T27" s="17">
        <f>IFERROR(S27*(1-IFERROR(INDEX('03.수수료'!$G:$G,MATCH($H27,'03.수수료'!$A:$A,0)),"")),"")</f>
        <v/>
      </c>
      <c r="U27" s="18" t="n"/>
    </row>
    <row r="28">
      <c r="A28" s="13" t="n"/>
      <c r="B28" s="13" t="n"/>
      <c r="C28" s="14">
        <f>IFERROR(LEN(B28),"")</f>
        <v/>
      </c>
      <c r="D28" s="13" t="n"/>
      <c r="E28" s="15" t="n"/>
      <c r="F28" s="16" t="n"/>
      <c r="G28" s="17">
        <f>IFERROR(E28*(1+F28),"")</f>
        <v/>
      </c>
      <c r="H28" s="13" t="n"/>
      <c r="I28" s="17">
        <f>IFERROR($G28/(1-IFERROR(INDEX('03.수수료'!$B:$B,MATCH($H28,'03.수수료'!$A:$A,0)),"")),"")</f>
        <v/>
      </c>
      <c r="J28" s="17">
        <f>IFERROR(I28*(1-IFERROR(INDEX('03.수수료'!$B:$B,MATCH($H28,'03.수수료'!$A:$A,0)),"")),"")</f>
        <v/>
      </c>
      <c r="K28" s="17">
        <f>IFERROR($G28/(1-IFERROR(INDEX('03.수수료'!$C:$C,MATCH($H28,'03.수수료'!$A:$A,0)),"")),"")</f>
        <v/>
      </c>
      <c r="L28" s="17">
        <f>IFERROR(K28*(1-IFERROR(INDEX('03.수수료'!$C:$C,MATCH($H28,'03.수수료'!$A:$A,0)),"")),"")</f>
        <v/>
      </c>
      <c r="M28" s="17">
        <f>IFERROR($G28/(1-IFERROR(INDEX('03.수수료'!$D:$D,MATCH($H28,'03.수수료'!$A:$A,0)),"")),"")</f>
        <v/>
      </c>
      <c r="N28" s="17">
        <f>IFERROR(M28*(1-IFERROR(INDEX('03.수수료'!$D:$D,MATCH($H28,'03.수수료'!$A:$A,0)),"")),"")</f>
        <v/>
      </c>
      <c r="O28" s="17">
        <f>IFERROR($G28/(1-IFERROR(INDEX('03.수수료'!$E:$E,MATCH($H28,'03.수수료'!$A:$A,0)),"")),"")</f>
        <v/>
      </c>
      <c r="P28" s="17">
        <f>IFERROR(O28*(1-IFERROR(INDEX('03.수수료'!$E:$E,MATCH($H28,'03.수수료'!$A:$A,0)),"")),"")</f>
        <v/>
      </c>
      <c r="Q28" s="17">
        <f>IFERROR($G28/(1-IFERROR(INDEX('03.수수료'!$F:$F,MATCH($H28,'03.수수료'!$A:$A,0)),"")),"")</f>
        <v/>
      </c>
      <c r="R28" s="17">
        <f>IFERROR(Q28*(1-IFERROR(INDEX('03.수수료'!$F:$F,MATCH($H28,'03.수수료'!$A:$A,0)),"")),"")</f>
        <v/>
      </c>
      <c r="S28" s="17">
        <f>IFERROR($G28/(1-IFERROR(INDEX('03.수수료'!$G:$G,MATCH($H28,'03.수수료'!$A:$A,0)),"")),"")</f>
        <v/>
      </c>
      <c r="T28" s="17">
        <f>IFERROR(S28*(1-IFERROR(INDEX('03.수수료'!$G:$G,MATCH($H28,'03.수수료'!$A:$A,0)),"")),"")</f>
        <v/>
      </c>
      <c r="U28" s="18" t="n"/>
    </row>
    <row r="29">
      <c r="A29" s="13" t="n"/>
      <c r="B29" s="13" t="n"/>
      <c r="C29" s="14">
        <f>IFERROR(LEN(B29),"")</f>
        <v/>
      </c>
      <c r="D29" s="13" t="n"/>
      <c r="E29" s="15" t="n"/>
      <c r="F29" s="16" t="n"/>
      <c r="G29" s="17">
        <f>IFERROR(E29*(1+F29),"")</f>
        <v/>
      </c>
      <c r="H29" s="13" t="n"/>
      <c r="I29" s="17">
        <f>IFERROR($G29/(1-IFERROR(INDEX('03.수수료'!$B:$B,MATCH($H29,'03.수수료'!$A:$A,0)),"")),"")</f>
        <v/>
      </c>
      <c r="J29" s="17">
        <f>IFERROR(I29*(1-IFERROR(INDEX('03.수수료'!$B:$B,MATCH($H29,'03.수수료'!$A:$A,0)),"")),"")</f>
        <v/>
      </c>
      <c r="K29" s="17">
        <f>IFERROR($G29/(1-IFERROR(INDEX('03.수수료'!$C:$C,MATCH($H29,'03.수수료'!$A:$A,0)),"")),"")</f>
        <v/>
      </c>
      <c r="L29" s="17">
        <f>IFERROR(K29*(1-IFERROR(INDEX('03.수수료'!$C:$C,MATCH($H29,'03.수수료'!$A:$A,0)),"")),"")</f>
        <v/>
      </c>
      <c r="M29" s="17">
        <f>IFERROR($G29/(1-IFERROR(INDEX('03.수수료'!$D:$D,MATCH($H29,'03.수수료'!$A:$A,0)),"")),"")</f>
        <v/>
      </c>
      <c r="N29" s="17">
        <f>IFERROR(M29*(1-IFERROR(INDEX('03.수수료'!$D:$D,MATCH($H29,'03.수수료'!$A:$A,0)),"")),"")</f>
        <v/>
      </c>
      <c r="O29" s="17">
        <f>IFERROR($G29/(1-IFERROR(INDEX('03.수수료'!$E:$E,MATCH($H29,'03.수수료'!$A:$A,0)),"")),"")</f>
        <v/>
      </c>
      <c r="P29" s="17">
        <f>IFERROR(O29*(1-IFERROR(INDEX('03.수수료'!$E:$E,MATCH($H29,'03.수수료'!$A:$A,0)),"")),"")</f>
        <v/>
      </c>
      <c r="Q29" s="17">
        <f>IFERROR($G29/(1-IFERROR(INDEX('03.수수료'!$F:$F,MATCH($H29,'03.수수료'!$A:$A,0)),"")),"")</f>
        <v/>
      </c>
      <c r="R29" s="17">
        <f>IFERROR(Q29*(1-IFERROR(INDEX('03.수수료'!$F:$F,MATCH($H29,'03.수수료'!$A:$A,0)),"")),"")</f>
        <v/>
      </c>
      <c r="S29" s="17">
        <f>IFERROR($G29/(1-IFERROR(INDEX('03.수수료'!$G:$G,MATCH($H29,'03.수수료'!$A:$A,0)),"")),"")</f>
        <v/>
      </c>
      <c r="T29" s="17">
        <f>IFERROR(S29*(1-IFERROR(INDEX('03.수수료'!$G:$G,MATCH($H29,'03.수수료'!$A:$A,0)),"")),"")</f>
        <v/>
      </c>
      <c r="U29" s="18" t="n"/>
    </row>
    <row r="30">
      <c r="A30" s="13" t="n"/>
      <c r="B30" s="13" t="n"/>
      <c r="C30" s="14">
        <f>IFERROR(LEN(B30),"")</f>
        <v/>
      </c>
      <c r="D30" s="13" t="n"/>
      <c r="E30" s="15" t="n"/>
      <c r="F30" s="16" t="n"/>
      <c r="G30" s="17">
        <f>IFERROR(E30*(1+F30),"")</f>
        <v/>
      </c>
      <c r="H30" s="13" t="n"/>
      <c r="I30" s="17">
        <f>IFERROR($G30/(1-IFERROR(INDEX('03.수수료'!$B:$B,MATCH($H30,'03.수수료'!$A:$A,0)),"")),"")</f>
        <v/>
      </c>
      <c r="J30" s="17">
        <f>IFERROR(I30*(1-IFERROR(INDEX('03.수수료'!$B:$B,MATCH($H30,'03.수수료'!$A:$A,0)),"")),"")</f>
        <v/>
      </c>
      <c r="K30" s="17">
        <f>IFERROR($G30/(1-IFERROR(INDEX('03.수수료'!$C:$C,MATCH($H30,'03.수수료'!$A:$A,0)),"")),"")</f>
        <v/>
      </c>
      <c r="L30" s="17">
        <f>IFERROR(K30*(1-IFERROR(INDEX('03.수수료'!$C:$C,MATCH($H30,'03.수수료'!$A:$A,0)),"")),"")</f>
        <v/>
      </c>
      <c r="M30" s="17">
        <f>IFERROR($G30/(1-IFERROR(INDEX('03.수수료'!$D:$D,MATCH($H30,'03.수수료'!$A:$A,0)),"")),"")</f>
        <v/>
      </c>
      <c r="N30" s="17">
        <f>IFERROR(M30*(1-IFERROR(INDEX('03.수수료'!$D:$D,MATCH($H30,'03.수수료'!$A:$A,0)),"")),"")</f>
        <v/>
      </c>
      <c r="O30" s="17">
        <f>IFERROR($G30/(1-IFERROR(INDEX('03.수수료'!$E:$E,MATCH($H30,'03.수수료'!$A:$A,0)),"")),"")</f>
        <v/>
      </c>
      <c r="P30" s="17">
        <f>IFERROR(O30*(1-IFERROR(INDEX('03.수수료'!$E:$E,MATCH($H30,'03.수수료'!$A:$A,0)),"")),"")</f>
        <v/>
      </c>
      <c r="Q30" s="17">
        <f>IFERROR($G30/(1-IFERROR(INDEX('03.수수료'!$F:$F,MATCH($H30,'03.수수료'!$A:$A,0)),"")),"")</f>
        <v/>
      </c>
      <c r="R30" s="17">
        <f>IFERROR(Q30*(1-IFERROR(INDEX('03.수수료'!$F:$F,MATCH($H30,'03.수수료'!$A:$A,0)),"")),"")</f>
        <v/>
      </c>
      <c r="S30" s="17">
        <f>IFERROR($G30/(1-IFERROR(INDEX('03.수수료'!$G:$G,MATCH($H30,'03.수수료'!$A:$A,0)),"")),"")</f>
        <v/>
      </c>
      <c r="T30" s="17">
        <f>IFERROR(S30*(1-IFERROR(INDEX('03.수수료'!$G:$G,MATCH($H30,'03.수수료'!$A:$A,0)),"")),"")</f>
        <v/>
      </c>
      <c r="U30" s="18" t="n"/>
    </row>
    <row r="32">
      <c r="A32" s="19" t="inlineStr">
        <is>
          <t>입력: 상품명(B) · 링크(D) · 원가(E) · 마진율(F) · 카테고리(G열의 03.수수료 시트와 동일한 이름으로 H에 입력) 만 채우면 나머지는 자동 계산됩니다.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0" customWidth="1" min="4" max="4"/>
    <col width="14" customWidth="1" min="5" max="5"/>
    <col width="22" customWidth="1" min="6" max="6"/>
    <col width="14" customWidth="1" min="7" max="7"/>
    <col width="22" customWidth="1" min="8" max="8"/>
    <col width="8" customWidth="1" min="9" max="9"/>
    <col width="6" customWidth="1" min="10" max="10"/>
    <col width="12" customWidth="1" min="11" max="11"/>
    <col width="14" customWidth="1" min="12" max="12"/>
    <col width="12" customWidth="1" min="13" max="13"/>
    <col width="10" customWidth="1" min="14" max="14"/>
    <col width="12" customWidth="1" min="15" max="15"/>
    <col width="16" customWidth="1" min="16" max="16"/>
    <col width="10" customWidth="1" min="17" max="17"/>
    <col width="9" customWidth="1" min="18" max="18"/>
    <col width="8" customWidth="1" min="19" max="19"/>
    <col width="14" customWidth="1" min="20" max="20"/>
  </cols>
  <sheetData>
    <row r="1" ht="30" customHeight="1">
      <c r="A1" s="3" t="inlineStr">
        <is>
          <t>날짜</t>
        </is>
      </c>
      <c r="B1" s="3" t="inlineStr">
        <is>
          <t>작업자</t>
        </is>
      </c>
      <c r="C1" s="3" t="inlineStr">
        <is>
          <t>쇼핑몰(판매채널)</t>
        </is>
      </c>
      <c r="D1" s="3" t="inlineStr">
        <is>
          <t>수령자명</t>
        </is>
      </c>
      <c r="E1" s="3" t="inlineStr">
        <is>
          <t>휴대번호</t>
        </is>
      </c>
      <c r="F1" s="3" t="inlineStr">
        <is>
          <t>주소</t>
        </is>
      </c>
      <c r="G1" s="3" t="inlineStr">
        <is>
          <t>배송메세지</t>
        </is>
      </c>
      <c r="H1" s="3" t="inlineStr">
        <is>
          <t>상품명</t>
        </is>
      </c>
      <c r="I1" s="3" t="inlineStr">
        <is>
          <t>옵션</t>
        </is>
      </c>
      <c r="J1" s="3" t="inlineStr">
        <is>
          <t>수량</t>
        </is>
      </c>
      <c r="K1" s="3" t="inlineStr">
        <is>
          <t>플랫폼판매가격</t>
        </is>
      </c>
      <c r="L1" s="3" t="inlineStr">
        <is>
          <t>공급가(실구매가)</t>
        </is>
      </c>
      <c r="M1" s="3" t="inlineStr">
        <is>
          <t>구매한곳(소싱채널)</t>
        </is>
      </c>
      <c r="N1" s="3" t="inlineStr">
        <is>
          <t>구매계정</t>
        </is>
      </c>
      <c r="O1" s="3" t="inlineStr">
        <is>
          <t>구매가격</t>
        </is>
      </c>
      <c r="P1" s="3" t="inlineStr">
        <is>
          <t>결제카드</t>
        </is>
      </c>
      <c r="Q1" s="3" t="inlineStr">
        <is>
          <t>마진</t>
        </is>
      </c>
      <c r="R1" s="3" t="inlineStr">
        <is>
          <t>수익률</t>
        </is>
      </c>
      <c r="S1" s="3" t="inlineStr">
        <is>
          <t>마일리지</t>
        </is>
      </c>
      <c r="T1" s="3" t="inlineStr">
        <is>
          <t>비고</t>
        </is>
      </c>
    </row>
    <row r="2">
      <c r="A2" s="7" t="inlineStr">
        <is>
          <t>2026-09-01</t>
        </is>
      </c>
      <c r="B2" s="7" t="inlineStr">
        <is>
          <t>본인</t>
        </is>
      </c>
      <c r="C2" s="7" t="inlineStr">
        <is>
          <t>11번가</t>
        </is>
      </c>
      <c r="D2" s="7" t="inlineStr">
        <is>
          <t>홍길동</t>
        </is>
      </c>
      <c r="E2" s="7" t="inlineStr">
        <is>
          <t>010-0000-0000</t>
        </is>
      </c>
      <c r="F2" s="7" t="inlineStr">
        <is>
          <t>서울시 ...</t>
        </is>
      </c>
      <c r="G2" s="7" t="inlineStr">
        <is>
          <t>부재시 문앞</t>
        </is>
      </c>
      <c r="H2" s="7" t="inlineStr">
        <is>
          <t>OO브랜드 비타민C 60정</t>
        </is>
      </c>
      <c r="I2" s="7" t="inlineStr">
        <is>
          <t>단품</t>
        </is>
      </c>
      <c r="J2" s="7" t="n">
        <v>1</v>
      </c>
      <c r="K2" s="7" t="n">
        <v>24000</v>
      </c>
      <c r="L2" s="7">
        <f>IFERROR(O2,"")</f>
        <v/>
      </c>
      <c r="M2" s="7" t="inlineStr">
        <is>
          <t>지마켓</t>
        </is>
      </c>
      <c r="N2" s="7" t="inlineStr">
        <is>
          <t>본계정</t>
        </is>
      </c>
      <c r="O2" s="7" t="n">
        <v>19500</v>
      </c>
      <c r="P2" s="7" t="inlineStr">
        <is>
          <t>현대스마일카드</t>
        </is>
      </c>
      <c r="Q2" s="20">
        <f>IFERROR(K2-O2,"")</f>
        <v/>
      </c>
      <c r="R2" s="21">
        <f>IFERROR(Q2/K2,"")</f>
        <v/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5" t="n"/>
      <c r="L3" s="13">
        <f>IFERROR(O3,"")</f>
        <v/>
      </c>
      <c r="M3" s="13" t="n"/>
      <c r="N3" s="13" t="n"/>
      <c r="O3" s="15" t="n"/>
      <c r="P3" s="13" t="n"/>
      <c r="Q3" s="15">
        <f>IFERROR(K3-O3,"")</f>
        <v/>
      </c>
      <c r="R3" s="16">
        <f>IFERROR(Q3/K3,"")</f>
        <v/>
      </c>
      <c r="S3" s="13" t="n"/>
      <c r="T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/>
      <c r="L4" s="13">
        <f>IFERROR(O4,"")</f>
        <v/>
      </c>
      <c r="M4" s="13" t="n"/>
      <c r="N4" s="13" t="n"/>
      <c r="O4" s="15" t="n"/>
      <c r="P4" s="13" t="n"/>
      <c r="Q4" s="15">
        <f>IFERROR(K4-O4,"")</f>
        <v/>
      </c>
      <c r="R4" s="16">
        <f>IFERROR(Q4/K4,"")</f>
        <v/>
      </c>
      <c r="S4" s="13" t="n"/>
      <c r="T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/>
      <c r="L5" s="13">
        <f>IFERROR(O5,"")</f>
        <v/>
      </c>
      <c r="M5" s="13" t="n"/>
      <c r="N5" s="13" t="n"/>
      <c r="O5" s="15" t="n"/>
      <c r="P5" s="13" t="n"/>
      <c r="Q5" s="15">
        <f>IFERROR(K5-O5,"")</f>
        <v/>
      </c>
      <c r="R5" s="16">
        <f>IFERROR(Q5/K5,"")</f>
        <v/>
      </c>
      <c r="S5" s="13" t="n"/>
      <c r="T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5" t="n"/>
      <c r="L6" s="13">
        <f>IFERROR(O6,"")</f>
        <v/>
      </c>
      <c r="M6" s="13" t="n"/>
      <c r="N6" s="13" t="n"/>
      <c r="O6" s="15" t="n"/>
      <c r="P6" s="13" t="n"/>
      <c r="Q6" s="15">
        <f>IFERROR(K6-O6,"")</f>
        <v/>
      </c>
      <c r="R6" s="16">
        <f>IFERROR(Q6/K6,"")</f>
        <v/>
      </c>
      <c r="S6" s="13" t="n"/>
      <c r="T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/>
      <c r="L7" s="13">
        <f>IFERROR(O7,"")</f>
        <v/>
      </c>
      <c r="M7" s="13" t="n"/>
      <c r="N7" s="13" t="n"/>
      <c r="O7" s="15" t="n"/>
      <c r="P7" s="13" t="n"/>
      <c r="Q7" s="15">
        <f>IFERROR(K7-O7,"")</f>
        <v/>
      </c>
      <c r="R7" s="16">
        <f>IFERROR(Q7/K7,"")</f>
        <v/>
      </c>
      <c r="S7" s="13" t="n"/>
      <c r="T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/>
      <c r="L8" s="13">
        <f>IFERROR(O8,"")</f>
        <v/>
      </c>
      <c r="M8" s="13" t="n"/>
      <c r="N8" s="13" t="n"/>
      <c r="O8" s="15" t="n"/>
      <c r="P8" s="13" t="n"/>
      <c r="Q8" s="15">
        <f>IFERROR(K8-O8,"")</f>
        <v/>
      </c>
      <c r="R8" s="16">
        <f>IFERROR(Q8/K8,"")</f>
        <v/>
      </c>
      <c r="S8" s="13" t="n"/>
      <c r="T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5" t="n"/>
      <c r="L9" s="13">
        <f>IFERROR(O9,"")</f>
        <v/>
      </c>
      <c r="M9" s="13" t="n"/>
      <c r="N9" s="13" t="n"/>
      <c r="O9" s="15" t="n"/>
      <c r="P9" s="13" t="n"/>
      <c r="Q9" s="15">
        <f>IFERROR(K9-O9,"")</f>
        <v/>
      </c>
      <c r="R9" s="16">
        <f>IFERROR(Q9/K9,"")</f>
        <v/>
      </c>
      <c r="S9" s="13" t="n"/>
      <c r="T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/>
      <c r="L10" s="13">
        <f>IFERROR(O10,"")</f>
        <v/>
      </c>
      <c r="M10" s="13" t="n"/>
      <c r="N10" s="13" t="n"/>
      <c r="O10" s="15" t="n"/>
      <c r="P10" s="13" t="n"/>
      <c r="Q10" s="15">
        <f>IFERROR(K10-O10,"")</f>
        <v/>
      </c>
      <c r="R10" s="16">
        <f>IFERROR(Q10/K10,"")</f>
        <v/>
      </c>
      <c r="S10" s="13" t="n"/>
      <c r="T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/>
      <c r="L11" s="13">
        <f>IFERROR(O11,"")</f>
        <v/>
      </c>
      <c r="M11" s="13" t="n"/>
      <c r="N11" s="13" t="n"/>
      <c r="O11" s="15" t="n"/>
      <c r="P11" s="13" t="n"/>
      <c r="Q11" s="15">
        <f>IFERROR(K11-O11,"")</f>
        <v/>
      </c>
      <c r="R11" s="16">
        <f>IFERROR(Q11/K11,"")</f>
        <v/>
      </c>
      <c r="S11" s="13" t="n"/>
      <c r="T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5" t="n"/>
      <c r="L12" s="13">
        <f>IFERROR(O12,"")</f>
        <v/>
      </c>
      <c r="M12" s="13" t="n"/>
      <c r="N12" s="13" t="n"/>
      <c r="O12" s="15" t="n"/>
      <c r="P12" s="13" t="n"/>
      <c r="Q12" s="15">
        <f>IFERROR(K12-O12,"")</f>
        <v/>
      </c>
      <c r="R12" s="16">
        <f>IFERROR(Q12/K12,"")</f>
        <v/>
      </c>
      <c r="S12" s="13" t="n"/>
      <c r="T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/>
      <c r="L13" s="13">
        <f>IFERROR(O13,"")</f>
        <v/>
      </c>
      <c r="M13" s="13" t="n"/>
      <c r="N13" s="13" t="n"/>
      <c r="O13" s="15" t="n"/>
      <c r="P13" s="13" t="n"/>
      <c r="Q13" s="15">
        <f>IFERROR(K13-O13,"")</f>
        <v/>
      </c>
      <c r="R13" s="16">
        <f>IFERROR(Q13/K13,"")</f>
        <v/>
      </c>
      <c r="S13" s="13" t="n"/>
      <c r="T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/>
      <c r="L14" s="13">
        <f>IFERROR(O14,"")</f>
        <v/>
      </c>
      <c r="M14" s="13" t="n"/>
      <c r="N14" s="13" t="n"/>
      <c r="O14" s="15" t="n"/>
      <c r="P14" s="13" t="n"/>
      <c r="Q14" s="15">
        <f>IFERROR(K14-O14,"")</f>
        <v/>
      </c>
      <c r="R14" s="16">
        <f>IFERROR(Q14/K14,"")</f>
        <v/>
      </c>
      <c r="S14" s="13" t="n"/>
      <c r="T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5" t="n"/>
      <c r="L15" s="13">
        <f>IFERROR(O15,"")</f>
        <v/>
      </c>
      <c r="M15" s="13" t="n"/>
      <c r="N15" s="13" t="n"/>
      <c r="O15" s="15" t="n"/>
      <c r="P15" s="13" t="n"/>
      <c r="Q15" s="15">
        <f>IFERROR(K15-O15,"")</f>
        <v/>
      </c>
      <c r="R15" s="16">
        <f>IFERROR(Q15/K15,"")</f>
        <v/>
      </c>
      <c r="S15" s="13" t="n"/>
      <c r="T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/>
      <c r="L16" s="13">
        <f>IFERROR(O16,"")</f>
        <v/>
      </c>
      <c r="M16" s="13" t="n"/>
      <c r="N16" s="13" t="n"/>
      <c r="O16" s="15" t="n"/>
      <c r="P16" s="13" t="n"/>
      <c r="Q16" s="15">
        <f>IFERROR(K16-O16,"")</f>
        <v/>
      </c>
      <c r="R16" s="16">
        <f>IFERROR(Q16/K16,"")</f>
        <v/>
      </c>
      <c r="S16" s="13" t="n"/>
      <c r="T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/>
      <c r="L17" s="13">
        <f>IFERROR(O17,"")</f>
        <v/>
      </c>
      <c r="M17" s="13" t="n"/>
      <c r="N17" s="13" t="n"/>
      <c r="O17" s="15" t="n"/>
      <c r="P17" s="13" t="n"/>
      <c r="Q17" s="15">
        <f>IFERROR(K17-O17,"")</f>
        <v/>
      </c>
      <c r="R17" s="16">
        <f>IFERROR(Q17/K17,"")</f>
        <v/>
      </c>
      <c r="S17" s="13" t="n"/>
      <c r="T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5" t="n"/>
      <c r="L18" s="13">
        <f>IFERROR(O18,"")</f>
        <v/>
      </c>
      <c r="M18" s="13" t="n"/>
      <c r="N18" s="13" t="n"/>
      <c r="O18" s="15" t="n"/>
      <c r="P18" s="13" t="n"/>
      <c r="Q18" s="15">
        <f>IFERROR(K18-O18,"")</f>
        <v/>
      </c>
      <c r="R18" s="16">
        <f>IFERROR(Q18/K18,"")</f>
        <v/>
      </c>
      <c r="S18" s="13" t="n"/>
      <c r="T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/>
      <c r="L19" s="13">
        <f>IFERROR(O19,"")</f>
        <v/>
      </c>
      <c r="M19" s="13" t="n"/>
      <c r="N19" s="13" t="n"/>
      <c r="O19" s="15" t="n"/>
      <c r="P19" s="13" t="n"/>
      <c r="Q19" s="15">
        <f>IFERROR(K19-O19,"")</f>
        <v/>
      </c>
      <c r="R19" s="16">
        <f>IFERROR(Q19/K19,"")</f>
        <v/>
      </c>
      <c r="S19" s="13" t="n"/>
      <c r="T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/>
      <c r="L20" s="13">
        <f>IFERROR(O20,"")</f>
        <v/>
      </c>
      <c r="M20" s="13" t="n"/>
      <c r="N20" s="13" t="n"/>
      <c r="O20" s="15" t="n"/>
      <c r="P20" s="13" t="n"/>
      <c r="Q20" s="15">
        <f>IFERROR(K20-O20,"")</f>
        <v/>
      </c>
      <c r="R20" s="16">
        <f>IFERROR(Q20/K20,"")</f>
        <v/>
      </c>
      <c r="S20" s="13" t="n"/>
      <c r="T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5" t="n"/>
      <c r="L21" s="13">
        <f>IFERROR(O21,"")</f>
        <v/>
      </c>
      <c r="M21" s="13" t="n"/>
      <c r="N21" s="13" t="n"/>
      <c r="O21" s="15" t="n"/>
      <c r="P21" s="13" t="n"/>
      <c r="Q21" s="15">
        <f>IFERROR(K21-O21,"")</f>
        <v/>
      </c>
      <c r="R21" s="16">
        <f>IFERROR(Q21/K21,"")</f>
        <v/>
      </c>
      <c r="S21" s="13" t="n"/>
      <c r="T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/>
      <c r="L22" s="13">
        <f>IFERROR(O22,"")</f>
        <v/>
      </c>
      <c r="M22" s="13" t="n"/>
      <c r="N22" s="13" t="n"/>
      <c r="O22" s="15" t="n"/>
      <c r="P22" s="13" t="n"/>
      <c r="Q22" s="15">
        <f>IFERROR(K22-O22,"")</f>
        <v/>
      </c>
      <c r="R22" s="16">
        <f>IFERROR(Q22/K22,"")</f>
        <v/>
      </c>
      <c r="S22" s="13" t="n"/>
      <c r="T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/>
      <c r="L23" s="13">
        <f>IFERROR(O23,"")</f>
        <v/>
      </c>
      <c r="M23" s="13" t="n"/>
      <c r="N23" s="13" t="n"/>
      <c r="O23" s="15" t="n"/>
      <c r="P23" s="13" t="n"/>
      <c r="Q23" s="15">
        <f>IFERROR(K23-O23,"")</f>
        <v/>
      </c>
      <c r="R23" s="16">
        <f>IFERROR(Q23/K23,"")</f>
        <v/>
      </c>
      <c r="S23" s="13" t="n"/>
      <c r="T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5" t="n"/>
      <c r="L24" s="13">
        <f>IFERROR(O24,"")</f>
        <v/>
      </c>
      <c r="M24" s="13" t="n"/>
      <c r="N24" s="13" t="n"/>
      <c r="O24" s="15" t="n"/>
      <c r="P24" s="13" t="n"/>
      <c r="Q24" s="15">
        <f>IFERROR(K24-O24,"")</f>
        <v/>
      </c>
      <c r="R24" s="16">
        <f>IFERROR(Q24/K24,"")</f>
        <v/>
      </c>
      <c r="S24" s="13" t="n"/>
      <c r="T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/>
      <c r="L25" s="13">
        <f>IFERROR(O25,"")</f>
        <v/>
      </c>
      <c r="M25" s="13" t="n"/>
      <c r="N25" s="13" t="n"/>
      <c r="O25" s="15" t="n"/>
      <c r="P25" s="13" t="n"/>
      <c r="Q25" s="15">
        <f>IFERROR(K25-O25,"")</f>
        <v/>
      </c>
      <c r="R25" s="16">
        <f>IFERROR(Q25/K25,"")</f>
        <v/>
      </c>
      <c r="S25" s="13" t="n"/>
      <c r="T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/>
      <c r="L26" s="13">
        <f>IFERROR(O26,"")</f>
        <v/>
      </c>
      <c r="M26" s="13" t="n"/>
      <c r="N26" s="13" t="n"/>
      <c r="O26" s="15" t="n"/>
      <c r="P26" s="13" t="n"/>
      <c r="Q26" s="15">
        <f>IFERROR(K26-O26,"")</f>
        <v/>
      </c>
      <c r="R26" s="16">
        <f>IFERROR(Q26/K26,"")</f>
        <v/>
      </c>
      <c r="S26" s="13" t="n"/>
      <c r="T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5" t="n"/>
      <c r="L27" s="13">
        <f>IFERROR(O27,"")</f>
        <v/>
      </c>
      <c r="M27" s="13" t="n"/>
      <c r="N27" s="13" t="n"/>
      <c r="O27" s="15" t="n"/>
      <c r="P27" s="13" t="n"/>
      <c r="Q27" s="15">
        <f>IFERROR(K27-O27,"")</f>
        <v/>
      </c>
      <c r="R27" s="16">
        <f>IFERROR(Q27/K27,"")</f>
        <v/>
      </c>
      <c r="S27" s="13" t="n"/>
      <c r="T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/>
      <c r="L28" s="13">
        <f>IFERROR(O28,"")</f>
        <v/>
      </c>
      <c r="M28" s="13" t="n"/>
      <c r="N28" s="13" t="n"/>
      <c r="O28" s="15" t="n"/>
      <c r="P28" s="13" t="n"/>
      <c r="Q28" s="15">
        <f>IFERROR(K28-O28,"")</f>
        <v/>
      </c>
      <c r="R28" s="16">
        <f>IFERROR(Q28/K28,"")</f>
        <v/>
      </c>
      <c r="S28" s="13" t="n"/>
      <c r="T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/>
      <c r="L29" s="13">
        <f>IFERROR(O29,"")</f>
        <v/>
      </c>
      <c r="M29" s="13" t="n"/>
      <c r="N29" s="13" t="n"/>
      <c r="O29" s="15" t="n"/>
      <c r="P29" s="13" t="n"/>
      <c r="Q29" s="15">
        <f>IFERROR(K29-O29,"")</f>
        <v/>
      </c>
      <c r="R29" s="16">
        <f>IFERROR(Q29/K29,"")</f>
        <v/>
      </c>
      <c r="S29" s="13" t="n"/>
      <c r="T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5" t="n"/>
      <c r="L30" s="13">
        <f>IFERROR(O30,"")</f>
        <v/>
      </c>
      <c r="M30" s="13" t="n"/>
      <c r="N30" s="13" t="n"/>
      <c r="O30" s="15" t="n"/>
      <c r="P30" s="13" t="n"/>
      <c r="Q30" s="15">
        <f>IFERROR(K30-O30,"")</f>
        <v/>
      </c>
      <c r="R30" s="16">
        <f>IFERROR(Q30/K30,"")</f>
        <v/>
      </c>
      <c r="S30" s="13" t="n"/>
      <c r="T30" s="13" t="n"/>
    </row>
    <row r="33">
      <c r="A33" s="22" t="inlineStr">
        <is>
          <t>월 요약</t>
        </is>
      </c>
    </row>
    <row r="34">
      <c r="A34" s="2" t="inlineStr">
        <is>
          <t>총 판매가</t>
        </is>
      </c>
      <c r="B34" s="23">
        <f>SUM(K2:K31)</f>
        <v/>
      </c>
    </row>
    <row r="35">
      <c r="A35" s="2" t="inlineStr">
        <is>
          <t>총 구매가</t>
        </is>
      </c>
      <c r="B35" s="23">
        <f>SUM(O2:O31)</f>
        <v/>
      </c>
    </row>
    <row r="36">
      <c r="A36" s="2" t="inlineStr">
        <is>
          <t>운영 이익 (판매가-구매가)</t>
        </is>
      </c>
      <c r="B36" s="23">
        <f>B34-B35</f>
        <v/>
      </c>
    </row>
    <row r="37">
      <c r="A37" s="2" t="inlineStr">
        <is>
          <t>고정지출 합계</t>
        </is>
      </c>
      <c r="B37" s="23">
        <f>SUM(E40:E46)</f>
        <v/>
      </c>
    </row>
    <row r="38">
      <c r="A38" s="2" t="inlineStr">
        <is>
          <t>순이익(운영이익-고정지출)</t>
        </is>
      </c>
      <c r="B38" s="23">
        <f>B36-B37</f>
        <v/>
      </c>
    </row>
    <row r="39">
      <c r="D39" s="24" t="inlineStr">
        <is>
          <t>고정지출 항목 (예시 — 본인 상황에 맞게 수정)</t>
        </is>
      </c>
    </row>
    <row r="40">
      <c r="D40" s="18" t="inlineStr">
        <is>
          <t>플레이오토</t>
        </is>
      </c>
      <c r="E40" s="25" t="n">
        <v>150000</v>
      </c>
    </row>
    <row r="41">
      <c r="D41" s="18" t="inlineStr">
        <is>
          <t>아이템스카우트</t>
        </is>
      </c>
      <c r="E41" s="25" t="n">
        <v>12000</v>
      </c>
    </row>
    <row r="42">
      <c r="D42" s="18" t="inlineStr">
        <is>
          <t>셀러허브 수수료</t>
        </is>
      </c>
      <c r="E42" s="25" t="n">
        <v>60000</v>
      </c>
    </row>
    <row r="43">
      <c r="D43" s="18" t="inlineStr">
        <is>
          <t>통신비(알뜰폰 등)</t>
        </is>
      </c>
      <c r="E43" s="25" t="n">
        <v>2700</v>
      </c>
    </row>
    <row r="44">
      <c r="D44" s="18" t="inlineStr">
        <is>
          <t>인터넷</t>
        </is>
      </c>
      <c r="E44" s="25" t="n">
        <v>22000</v>
      </c>
    </row>
    <row r="45">
      <c r="D45" s="18" t="inlineStr">
        <is>
          <t>기타 구독료</t>
        </is>
      </c>
      <c r="E45" s="25" t="n">
        <v>3000</v>
      </c>
    </row>
    <row r="46">
      <c r="D46" s="18" t="inlineStr">
        <is>
          <t>사무공간(해당 시)</t>
        </is>
      </c>
      <c r="E46" s="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14" customWidth="1" min="5" max="5"/>
    <col width="20" customWidth="1" min="6" max="6"/>
    <col width="20" customWidth="1" min="7" max="7"/>
    <col width="10" customWidth="1" min="8" max="8"/>
    <col width="12" customWidth="1" min="9" max="9"/>
    <col width="12" customWidth="1" min="10" max="10"/>
    <col width="16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0" customWidth="1" min="17" max="17"/>
  </cols>
  <sheetData>
    <row r="1" ht="30" customHeight="1">
      <c r="A1" s="3" t="inlineStr">
        <is>
          <t>작업자</t>
        </is>
      </c>
      <c r="B1" s="3" t="inlineStr">
        <is>
          <t>접수일</t>
        </is>
      </c>
      <c r="C1" s="3" t="inlineStr">
        <is>
          <t>플랫폼(판매채널)</t>
        </is>
      </c>
      <c r="D1" s="3" t="inlineStr">
        <is>
          <t>고객명</t>
        </is>
      </c>
      <c r="E1" s="3" t="inlineStr">
        <is>
          <t>연락처</t>
        </is>
      </c>
      <c r="F1" s="3" t="inlineStr">
        <is>
          <t>상품</t>
        </is>
      </c>
      <c r="G1" s="3" t="inlineStr">
        <is>
          <t>내용</t>
        </is>
      </c>
      <c r="H1" s="3" t="inlineStr">
        <is>
          <t>택배사</t>
        </is>
      </c>
      <c r="I1" s="3" t="inlineStr">
        <is>
          <t>원송장</t>
        </is>
      </c>
      <c r="J1" s="3" t="inlineStr">
        <is>
          <t>반송장</t>
        </is>
      </c>
      <c r="K1" s="3" t="inlineStr">
        <is>
          <t>구매한 플랫폼명(소싱채널)</t>
        </is>
      </c>
      <c r="L1" s="3" t="inlineStr">
        <is>
          <t>계정</t>
        </is>
      </c>
      <c r="M1" s="3" t="inlineStr">
        <is>
          <t>상태</t>
        </is>
      </c>
      <c r="N1" s="3" t="inlineStr">
        <is>
          <t>클레임유형</t>
        </is>
      </c>
      <c r="O1" s="3" t="inlineStr">
        <is>
          <t>고객부담 택배비</t>
        </is>
      </c>
      <c r="P1" s="3" t="inlineStr">
        <is>
          <t>업체부담 택배비</t>
        </is>
      </c>
      <c r="Q1" s="3" t="inlineStr">
        <is>
          <t>손실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5" t="n"/>
      <c r="P2" s="15" t="n"/>
      <c r="Q2" s="15">
        <f>IFERROR(P2-O2,"")</f>
        <v/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5" t="n"/>
      <c r="P3" s="15" t="n"/>
      <c r="Q3" s="15">
        <f>IFERROR(P3-O3,"")</f>
        <v/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5" t="n"/>
      <c r="P4" s="15" t="n"/>
      <c r="Q4" s="15">
        <f>IFERROR(P4-O4,"")</f>
        <v/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5" t="n"/>
      <c r="P5" s="15" t="n"/>
      <c r="Q5" s="15">
        <f>IFERROR(P5-O5,"")</f>
        <v/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5" t="n"/>
      <c r="P6" s="15" t="n"/>
      <c r="Q6" s="15">
        <f>IFERROR(P6-O6,"")</f>
        <v/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5" t="n"/>
      <c r="P7" s="15" t="n"/>
      <c r="Q7" s="15">
        <f>IFERROR(P7-O7,"")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5" t="n"/>
      <c r="P8" s="15" t="n"/>
      <c r="Q8" s="15">
        <f>IFERROR(P8-O8,"")</f>
        <v/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5" t="n"/>
      <c r="P9" s="15" t="n"/>
      <c r="Q9" s="15">
        <f>IFERROR(P9-O9,"")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5" t="n"/>
      <c r="P10" s="15" t="n"/>
      <c r="Q10" s="15">
        <f>IFERROR(P10-O10,"")</f>
        <v/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5" t="n"/>
      <c r="P11" s="15" t="n"/>
      <c r="Q11" s="15">
        <f>IFERROR(P11-O11,"")</f>
        <v/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5" t="n"/>
      <c r="P12" s="15" t="n"/>
      <c r="Q12" s="15">
        <f>IFERROR(P12-O12,"")</f>
        <v/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5" t="n"/>
      <c r="P13" s="15" t="n"/>
      <c r="Q13" s="15">
        <f>IFERROR(P13-O13,"")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5" t="n"/>
      <c r="P14" s="15" t="n"/>
      <c r="Q14" s="15">
        <f>IFERROR(P14-O14,"")</f>
        <v/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5" t="n"/>
      <c r="P15" s="15" t="n"/>
      <c r="Q15" s="15">
        <f>IFERROR(P15-O15,"")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5" t="n"/>
      <c r="P16" s="15" t="n"/>
      <c r="Q16" s="15">
        <f>IFERROR(P16-O16,"")</f>
        <v/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5" t="n"/>
      <c r="P17" s="15" t="n"/>
      <c r="Q17" s="15">
        <f>IFERROR(P17-O17,"")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5" t="n"/>
      <c r="P18" s="15" t="n"/>
      <c r="Q18" s="15">
        <f>IFERROR(P18-O18,"")</f>
        <v/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5" t="n"/>
      <c r="P19" s="15" t="n"/>
      <c r="Q19" s="15">
        <f>IFERROR(P19-O19,"")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5" t="n"/>
      <c r="P20" s="15" t="n"/>
      <c r="Q20" s="15">
        <f>IFERROR(P20-O20,"")</f>
        <v/>
      </c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5" t="n"/>
      <c r="P21" s="15" t="n"/>
      <c r="Q21" s="15">
        <f>IFERROR(P21-O21,"")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5" t="n"/>
      <c r="P22" s="15" t="n"/>
      <c r="Q22" s="15">
        <f>IFERROR(P22-O22,"")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5" t="n"/>
      <c r="P23" s="15" t="n"/>
      <c r="Q23" s="15">
        <f>IFERROR(P23-O23,"")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5" t="n"/>
      <c r="P24" s="15" t="n"/>
      <c r="Q24" s="15">
        <f>IFERROR(P24-O24,"")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5" t="n"/>
      <c r="P25" s="15" t="n"/>
      <c r="Q25" s="15">
        <f>IFERROR(P25-O25,"")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5" t="n"/>
      <c r="P26" s="15" t="n"/>
      <c r="Q26" s="15">
        <f>IFERROR(P26-O26,"")</f>
        <v/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5" t="n"/>
      <c r="P27" s="15" t="n"/>
      <c r="Q27" s="15">
        <f>IFERROR(P27-O27,"")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5" t="n"/>
      <c r="P28" s="15" t="n"/>
      <c r="Q28" s="15">
        <f>IFERROR(P28-O28,"")</f>
        <v/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5" t="n"/>
      <c r="P29" s="15" t="n"/>
      <c r="Q29" s="15">
        <f>IFERROR(P29-O29,"")</f>
        <v/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5" t="n"/>
      <c r="P30" s="15" t="n"/>
      <c r="Q30" s="15">
        <f>IFERROR(P30-O30,"")</f>
        <v/>
      </c>
    </row>
    <row r="33">
      <c r="A33" s="22" t="inlineStr">
        <is>
          <t>총 손실금액</t>
        </is>
      </c>
      <c r="B33" s="23">
        <f>SUM(Q2:Q31)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0" customHeight="1">
      <c r="A1" s="3" t="inlineStr">
        <is>
          <t>문의 유형</t>
        </is>
      </c>
      <c r="B1" s="3" t="inlineStr">
        <is>
          <t>응대 스크립트 (예시)</t>
        </is>
      </c>
    </row>
    <row r="2" ht="60" customHeight="1">
      <c r="A2" s="26" t="inlineStr">
        <is>
          <t>유통기한 및 제조일자 문의</t>
        </is>
      </c>
      <c r="B2" s="27" t="inlineStr">
        <is>
          <t>안녕하세요 고객님, 해당 제품 수시 입출고 되는 제품으로 최신 제조일자 제품으로 출고되는 점 참고 부탁드립니다.</t>
        </is>
      </c>
    </row>
    <row r="3" ht="60" customHeight="1">
      <c r="A3" s="26" t="inlineStr">
        <is>
          <t>배송 관련 문의</t>
        </is>
      </c>
      <c r="B3" s="27" t="inlineStr">
        <is>
          <t>안녕하세요 고객님, 결제 완료일 기준 출고까지 2~3영업일 소요되는 점 참고 부탁드립니다.</t>
        </is>
      </c>
    </row>
    <row r="4" ht="60" customHeight="1">
      <c r="A4" s="26" t="inlineStr">
        <is>
          <t>품절 취소 안내</t>
        </is>
      </c>
      <c r="B4" s="27" t="inlineStr">
        <is>
          <t>[상품명] 주문하신 상품이 업체 수급불가/품절로 배송이 어려워, 취소 및 환불진행 도와드려야 할 것 같습니다. 주문하신 사이트에서 취소신청 해주시면 즉시 환불처리 될 예정이며, 미리 확인해드리지 못해 진심으로 사과말씀 드립니다. 배송에 차질이 생겨 대단히 죄송합니다. 재고 관리에 더욱더 신경쓰도록 하겠습니다. 감사합니다.</t>
        </is>
      </c>
    </row>
    <row r="5" ht="60" customHeight="1">
      <c r="A5" s="26" t="inlineStr">
        <is>
          <t>정품 여부 문의</t>
        </is>
      </c>
      <c r="B5" s="27" t="inlineStr">
        <is>
          <t>안녕하세요 고객님, 저희 스토어에서 판매하는 모든 제품은 브랜드 공식 판매처 및 정식 유통 경로를 통해 입고되는 100% 정품입니다. 가품일 경우 보상 정책이 있으니 안심하고 구매하셔도 좋습니다. 감사합니다.</t>
        </is>
      </c>
    </row>
    <row r="6" ht="60" customHeight="1">
      <c r="A6" s="26" t="inlineStr">
        <is>
          <t>상품 파손 및 오배송</t>
        </is>
      </c>
      <c r="B6" s="27" t="inlineStr">
        <is>
          <t>안녕하세요 고객님, 배송 중 불편을 드려 진심으로 사과말씀 드립니다. 번거로우시겠지만 [파손된 부위/송장 번호가 보이는 박스 사진]을 촬영하여 보내주시면 확인 후 즉시 재배송 또는 환불처리 도와드리겠습니다.</t>
        </is>
      </c>
    </row>
    <row r="7" ht="60" customHeight="1">
      <c r="A7" s="26" t="inlineStr">
        <is>
          <t>현금영수증 및 세금계산서 문의</t>
        </is>
      </c>
      <c r="B7" s="27" t="inlineStr">
        <is>
          <t>안녕하세요 고객님, 결제하신 플랫폼 마이페이지, 내 주문 상세 내역에서 직접 영수증 출력 및 현금영수증 신청이 가능합니다. 직접 발행이 어려우신 경우 고객센터로 문의 주시면 빠른 처리 도와드리겠습니다.</t>
        </is>
      </c>
    </row>
    <row r="8" ht="60" customHeight="1">
      <c r="A8" s="26" t="inlineStr">
        <is>
          <t>단순변심 취소 (반품배송비 안내)</t>
        </is>
      </c>
      <c r="B8" s="27" t="inlineStr">
        <is>
          <t>[상품명] 안녕하세요 고객님, 해당상품 단순변심으로 인한 취소요청 건으로 접수진행시 왕복 택배비가 발생하는데 그대로 진행 도와드릴까요? 진행 원하시면 아래 계좌로 택배비 입금 후 문앞에 상품 내놔주시면서 문자 남겨주시면 바로 접수 도와드리겠습니다. 감사합니다.</t>
        </is>
      </c>
    </row>
    <row r="11">
      <c r="A11" s="19" t="inlineStr">
        <is>
          <t>그대로 복사해서 쓰기보다, 본인 스토어 톤에 맞게 문장을 다듬어 쓰는 것을 추천합니다.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3" t="inlineStr">
        <is>
          <t>브랜드/키워드</t>
        </is>
      </c>
      <c r="B1" s="3" t="inlineStr">
        <is>
          <t>비고(카테고리 등)</t>
        </is>
      </c>
    </row>
    <row r="2" ht="45" customHeight="1">
      <c r="A2" s="4" t="inlineStr">
        <is>
          <t>주의사항: 아래 목록은 특정 시점 기준 예시입니다. 상표권 보호·독점유통 계약 등으로 무단 소싱 시 제재(판매중지, 계정정지 등)를 받을 수 있는 브랜드입니다. 목록은 계속 바뀌므로 정기적으로 직접 재확인하고, 새 카테고리에 진입할 때마다 해당 브랜드의 공식 유통 정책을 확인하는 습관을 들이세요.</t>
        </is>
      </c>
    </row>
    <row r="3">
      <c r="A3" s="28" t="inlineStr">
        <is>
          <t>㈜아이맘</t>
        </is>
      </c>
      <c r="B3" s="28" t="inlineStr"/>
    </row>
    <row r="4">
      <c r="A4" s="28" t="inlineStr">
        <is>
          <t>남양유업</t>
        </is>
      </c>
      <c r="B4" s="28" t="inlineStr">
        <is>
          <t>분유</t>
        </is>
      </c>
    </row>
    <row r="5">
      <c r="A5" s="28" t="inlineStr">
        <is>
          <t>혜인건강</t>
        </is>
      </c>
      <c r="B5" s="28" t="inlineStr">
        <is>
          <t>건강기능식품</t>
        </is>
      </c>
    </row>
    <row r="6">
      <c r="A6" s="28" t="inlineStr">
        <is>
          <t>보만코리아</t>
        </is>
      </c>
      <c r="B6" s="28" t="inlineStr"/>
    </row>
    <row r="7">
      <c r="A7" s="28" t="inlineStr">
        <is>
          <t>차이슨</t>
        </is>
      </c>
      <c r="B7" s="28" t="inlineStr">
        <is>
          <t>핸디형 무선청소기</t>
        </is>
      </c>
    </row>
    <row r="8">
      <c r="A8" s="28" t="inlineStr">
        <is>
          <t>다이슨</t>
        </is>
      </c>
      <c r="B8" s="28" t="inlineStr">
        <is>
          <t>무선청소기</t>
        </is>
      </c>
    </row>
    <row r="9">
      <c r="A9" s="28" t="inlineStr">
        <is>
          <t>지라프</t>
        </is>
      </c>
      <c r="B9" s="28" t="inlineStr">
        <is>
          <t>구이바다</t>
        </is>
      </c>
    </row>
    <row r="10">
      <c r="A10" s="28" t="inlineStr">
        <is>
          <t>㈜매직랩</t>
        </is>
      </c>
      <c r="B10" s="28" t="inlineStr"/>
    </row>
    <row r="11">
      <c r="A11" s="28" t="inlineStr">
        <is>
          <t>스빈또</t>
        </is>
      </c>
      <c r="B11" s="28" t="inlineStr"/>
    </row>
    <row r="12">
      <c r="A12" s="28" t="inlineStr">
        <is>
          <t>㈜아토세이프</t>
        </is>
      </c>
      <c r="B12" s="28" t="inlineStr"/>
    </row>
    <row r="13">
      <c r="A13" s="28" t="inlineStr">
        <is>
          <t>GNM</t>
        </is>
      </c>
      <c r="B13" s="28" t="inlineStr">
        <is>
          <t>자연의품격</t>
        </is>
      </c>
    </row>
    <row r="14">
      <c r="A14" s="28" t="inlineStr">
        <is>
          <t>한국존슨앤드존슨</t>
        </is>
      </c>
      <c r="B14" s="28" t="inlineStr"/>
    </row>
    <row r="15">
      <c r="A15" s="28" t="inlineStr">
        <is>
          <t>㈜해맑음푸드</t>
        </is>
      </c>
      <c r="B15" s="28" t="inlineStr">
        <is>
          <t>자연루</t>
        </is>
      </c>
    </row>
    <row r="16">
      <c r="A16" s="28" t="inlineStr">
        <is>
          <t>투데이넛</t>
        </is>
      </c>
      <c r="B16" s="28" t="inlineStr">
        <is>
          <t>너트한줌</t>
        </is>
      </c>
    </row>
    <row r="17">
      <c r="A17" s="28" t="inlineStr">
        <is>
          <t>한국미라클피플사</t>
        </is>
      </c>
      <c r="B17" s="28" t="inlineStr">
        <is>
          <t>캡슐세제</t>
        </is>
      </c>
    </row>
    <row r="18">
      <c r="A18" s="28" t="inlineStr">
        <is>
          <t>㈜제이엠더블유(JMW)</t>
        </is>
      </c>
      <c r="B18" s="28" t="inlineStr">
        <is>
          <t>비네이쳐/드라이기</t>
        </is>
      </c>
    </row>
    <row r="19">
      <c r="A19" s="28" t="inlineStr">
        <is>
          <t>닥터루템</t>
        </is>
      </c>
      <c r="B19" s="28" t="inlineStr"/>
    </row>
    <row r="20">
      <c r="A20" s="28" t="inlineStr">
        <is>
          <t>행복을파는사람들</t>
        </is>
      </c>
      <c r="B20" s="28" t="inlineStr">
        <is>
          <t>래오이경제 흑염소진액</t>
        </is>
      </c>
    </row>
    <row r="21">
      <c r="A21" s="28" t="inlineStr">
        <is>
          <t>킨도</t>
        </is>
      </c>
      <c r="B21" s="28" t="inlineStr">
        <is>
          <t>출산/유아동</t>
        </is>
      </c>
    </row>
    <row r="22">
      <c r="A22" s="28" t="inlineStr">
        <is>
          <t>베베숲</t>
        </is>
      </c>
      <c r="B22" s="28" t="inlineStr">
        <is>
          <t>출산/유아동</t>
        </is>
      </c>
    </row>
    <row r="23">
      <c r="A23" s="28" t="inlineStr">
        <is>
          <t>브라운</t>
        </is>
      </c>
      <c r="B23" s="28" t="inlineStr">
        <is>
          <t>출산/유아동, 가전/면도기</t>
        </is>
      </c>
    </row>
    <row r="24">
      <c r="A24" s="28" t="inlineStr">
        <is>
          <t>앙블랑</t>
        </is>
      </c>
      <c r="B24" s="28" t="inlineStr">
        <is>
          <t>출산/유아동</t>
        </is>
      </c>
    </row>
    <row r="25">
      <c r="A25" s="28" t="inlineStr">
        <is>
          <t>베베앙</t>
        </is>
      </c>
      <c r="B25" s="28" t="inlineStr">
        <is>
          <t>출산/유아동</t>
        </is>
      </c>
    </row>
    <row r="26">
      <c r="A26" s="28" t="inlineStr">
        <is>
          <t>코리아나</t>
        </is>
      </c>
      <c r="B26" s="28" t="inlineStr">
        <is>
          <t>화장품</t>
        </is>
      </c>
    </row>
    <row r="27">
      <c r="A27" s="28" t="inlineStr">
        <is>
          <t>일동후디스</t>
        </is>
      </c>
      <c r="B27" s="28" t="inlineStr">
        <is>
          <t>출산/유아동, 하이뮨</t>
        </is>
      </c>
    </row>
    <row r="28">
      <c r="A28" s="28" t="inlineStr">
        <is>
          <t>제이씨코리아</t>
        </is>
      </c>
      <c r="B28" s="28" t="inlineStr">
        <is>
          <t>데싱디바(네일)</t>
        </is>
      </c>
    </row>
    <row r="29">
      <c r="A29" s="28" t="inlineStr">
        <is>
          <t>루디아프레그런스</t>
        </is>
      </c>
      <c r="B29" s="28" t="inlineStr">
        <is>
          <t>화장품</t>
        </is>
      </c>
    </row>
    <row r="30">
      <c r="A30" s="28" t="inlineStr">
        <is>
          <t>이롬</t>
        </is>
      </c>
      <c r="B30" s="28" t="inlineStr">
        <is>
          <t>황성주</t>
        </is>
      </c>
    </row>
    <row r="31">
      <c r="A31" s="28" t="inlineStr">
        <is>
          <t>옐로하나</t>
        </is>
      </c>
      <c r="B31" s="28" t="inlineStr">
        <is>
          <t>여성청결제</t>
        </is>
      </c>
    </row>
    <row r="32">
      <c r="A32" s="28" t="inlineStr">
        <is>
          <t>스파클</t>
        </is>
      </c>
      <c r="B32" s="28" t="inlineStr">
        <is>
          <t>식품/음료/생수</t>
        </is>
      </c>
    </row>
    <row r="33">
      <c r="A33" s="28" t="inlineStr">
        <is>
          <t>순수식품</t>
        </is>
      </c>
      <c r="B33" s="28" t="inlineStr">
        <is>
          <t>식품</t>
        </is>
      </c>
    </row>
    <row r="34">
      <c r="A34" s="28" t="inlineStr">
        <is>
          <t>락앤락</t>
        </is>
      </c>
      <c r="B34" s="28" t="inlineStr">
        <is>
          <t>생활용품</t>
        </is>
      </c>
    </row>
    <row r="35">
      <c r="A35" s="28" t="inlineStr">
        <is>
          <t>매일유업</t>
        </is>
      </c>
      <c r="B35" s="28" t="inlineStr">
        <is>
          <t>셀렉스</t>
        </is>
      </c>
    </row>
    <row r="36">
      <c r="A36" s="28" t="inlineStr">
        <is>
          <t>모다모다</t>
        </is>
      </c>
      <c r="B36" s="28" t="inlineStr">
        <is>
          <t>샴푸</t>
        </is>
      </c>
    </row>
    <row r="37">
      <c r="A37" s="28" t="inlineStr">
        <is>
          <t>영이의숲</t>
        </is>
      </c>
      <c r="B37" s="28" t="inlineStr">
        <is>
          <t>쿼카(캐릭터제품)</t>
        </is>
      </c>
    </row>
    <row r="38">
      <c r="A38" s="28" t="inlineStr">
        <is>
          <t>퓨어나나</t>
        </is>
      </c>
      <c r="B38" s="28" t="inlineStr">
        <is>
          <t>쿼카(캐릭터제품)</t>
        </is>
      </c>
    </row>
    <row r="39">
      <c r="A39" s="28" t="inlineStr">
        <is>
          <t>세컨드모닝</t>
        </is>
      </c>
      <c r="B39" s="28" t="inlineStr">
        <is>
          <t>레모니/고구미/애플이(파우치)</t>
        </is>
      </c>
    </row>
    <row r="40">
      <c r="A40" s="28" t="inlineStr">
        <is>
          <t>닥터바이오</t>
        </is>
      </c>
      <c r="B40" s="28" t="inlineStr">
        <is>
          <t>선크림</t>
        </is>
      </c>
    </row>
    <row r="41">
      <c r="A41" s="28" t="inlineStr">
        <is>
          <t>프롬비</t>
        </is>
      </c>
      <c r="B41" s="28" t="inlineStr">
        <is>
          <t>가전제품/생활용품</t>
        </is>
      </c>
    </row>
    <row r="42">
      <c r="A42" s="28" t="inlineStr">
        <is>
          <t>㈜애니씽인터내셔널</t>
        </is>
      </c>
      <c r="B42" s="28" t="inlineStr">
        <is>
          <t>붕어빵 물티슈</t>
        </is>
      </c>
    </row>
    <row r="43">
      <c r="A43" s="28" t="inlineStr">
        <is>
          <t>비스코</t>
        </is>
      </c>
      <c r="B43" s="28" t="inlineStr">
        <is>
          <t>전기모기채</t>
        </is>
      </c>
    </row>
    <row r="44">
      <c r="A44" s="28" t="inlineStr">
        <is>
          <t>닥터지</t>
        </is>
      </c>
      <c r="B44" s="28" t="inlineStr">
        <is>
          <t>폼클렌징</t>
        </is>
      </c>
    </row>
    <row r="45">
      <c r="A45" s="28" t="inlineStr">
        <is>
          <t>피토닉스</t>
        </is>
      </c>
      <c r="B45" s="28" t="inlineStr">
        <is>
          <t>옐로우 유산균</t>
        </is>
      </c>
    </row>
    <row r="46">
      <c r="A46" s="28" t="inlineStr">
        <is>
          <t>필립스</t>
        </is>
      </c>
      <c r="B46" s="28" t="inlineStr">
        <is>
          <t>면도기</t>
        </is>
      </c>
    </row>
    <row r="47">
      <c r="A47" s="28" t="inlineStr">
        <is>
          <t>고투카원</t>
        </is>
      </c>
      <c r="B47" s="28" t="inlineStr"/>
    </row>
    <row r="48">
      <c r="A48" s="28" t="inlineStr">
        <is>
          <t>당당자유</t>
        </is>
      </c>
      <c r="B48" s="28" t="inlineStr">
        <is>
          <t>건강기능식품</t>
        </is>
      </c>
    </row>
    <row r="49">
      <c r="A49" s="28" t="inlineStr">
        <is>
          <t>도담이</t>
        </is>
      </c>
      <c r="B49" s="28" t="inlineStr">
        <is>
          <t>물티슈</t>
        </is>
      </c>
    </row>
    <row r="50">
      <c r="A50" s="28" t="inlineStr">
        <is>
          <t>LG</t>
        </is>
      </c>
      <c r="B50" s="28" t="inlineStr">
        <is>
          <t>가전제품</t>
        </is>
      </c>
    </row>
    <row r="51">
      <c r="A51" s="28" t="inlineStr">
        <is>
          <t>삼성</t>
        </is>
      </c>
      <c r="B51" s="28" t="inlineStr">
        <is>
          <t>가전제품</t>
        </is>
      </c>
    </row>
    <row r="52">
      <c r="A52" s="28" t="inlineStr">
        <is>
          <t>애플</t>
        </is>
      </c>
      <c r="B52" s="28" t="inlineStr">
        <is>
          <t>가전제품</t>
        </is>
      </c>
    </row>
    <row r="53">
      <c r="A53" s="28" t="inlineStr">
        <is>
          <t>동서식품</t>
        </is>
      </c>
      <c r="B53" s="28" t="inlineStr">
        <is>
          <t>카누 커피머신(바리스타/어반)</t>
        </is>
      </c>
    </row>
    <row r="54">
      <c r="A54" s="28" t="inlineStr">
        <is>
          <t>헬로키티/산리오</t>
        </is>
      </c>
      <c r="B54" s="28" t="inlineStr">
        <is>
          <t>캐릭터 제품</t>
        </is>
      </c>
    </row>
    <row r="55">
      <c r="A55" s="28" t="inlineStr">
        <is>
          <t>푸드올로지</t>
        </is>
      </c>
      <c r="B55" s="28" t="inlineStr"/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2026-08-31T16:23:00Z</dcterms:created>
  <dcterms:modified xsi:type="dcterms:W3CDTF">2026-08-31T16:23:00Z</dcterms:modified>
</cp:coreProperties>
</file>